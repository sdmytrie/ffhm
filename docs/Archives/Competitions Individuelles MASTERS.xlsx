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28800" windowHeight="13065" firstSheet="2" activeTab="2"/>
  </bookViews>
  <sheets>
    <sheet name="Masterf" sheetId="5" state="hidden" r:id="rId1"/>
    <sheet name="Masterh" sheetId="6" state="hidden" r:id="rId2"/>
    <sheet name="INDIVIDUEL" sheetId="7" r:id="rId3"/>
  </sheets>
  <definedNames>
    <definedName name="_xlnm.Print_Area" localSheetId="2">INDIVIDUEL!$A$1:$X$32</definedName>
  </definedNames>
  <calcPr calcId="162913"/>
</workbook>
</file>

<file path=xl/calcChain.xml><?xml version="1.0" encoding="utf-8"?>
<calcChain xmlns="http://schemas.openxmlformats.org/spreadsheetml/2006/main">
  <c r="X10" i="7" l="1"/>
  <c r="X11" i="7"/>
  <c r="X12" i="7"/>
  <c r="X13" i="7"/>
  <c r="X14" i="7"/>
  <c r="X15" i="7"/>
  <c r="X16" i="7"/>
  <c r="X17" i="7"/>
  <c r="X18" i="7"/>
  <c r="X19" i="7"/>
  <c r="X20" i="7"/>
  <c r="X21" i="7"/>
  <c r="X22" i="7"/>
  <c r="AN8" i="7" l="1"/>
  <c r="AO8" i="7"/>
  <c r="AN9" i="7"/>
  <c r="AO9" i="7"/>
  <c r="AN10" i="7"/>
  <c r="AO10" i="7"/>
  <c r="AN11" i="7"/>
  <c r="AO11" i="7"/>
  <c r="AN12" i="7"/>
  <c r="AO12" i="7"/>
  <c r="AN13" i="7"/>
  <c r="AO13" i="7"/>
  <c r="AN14" i="7"/>
  <c r="AO14" i="7"/>
  <c r="AN15" i="7"/>
  <c r="AO15" i="7"/>
  <c r="AN16" i="7"/>
  <c r="AO16" i="7"/>
  <c r="AN17" i="7"/>
  <c r="AO17" i="7"/>
  <c r="AN18" i="7"/>
  <c r="AO18" i="7"/>
  <c r="AN19" i="7"/>
  <c r="AO19" i="7"/>
  <c r="AN20" i="7"/>
  <c r="AO20" i="7"/>
  <c r="AN21" i="7"/>
  <c r="AO21" i="7"/>
  <c r="AN22" i="7"/>
  <c r="AO22" i="7"/>
  <c r="AN7" i="7"/>
  <c r="AO7" i="7"/>
  <c r="V13" i="7" l="1"/>
  <c r="V14" i="7"/>
  <c r="V15" i="7"/>
  <c r="V17" i="7"/>
  <c r="V18" i="7"/>
  <c r="V19" i="7"/>
  <c r="V21" i="7"/>
  <c r="V22" i="7"/>
  <c r="V20" i="7" l="1"/>
  <c r="V16" i="7"/>
  <c r="V12" i="7"/>
  <c r="V11" i="7"/>
  <c r="V10" i="7"/>
  <c r="V9" i="7"/>
  <c r="V8" i="7"/>
  <c r="V7" i="7"/>
  <c r="S22" i="7"/>
  <c r="O22" i="7"/>
  <c r="S21" i="7"/>
  <c r="O21" i="7"/>
  <c r="S20" i="7"/>
  <c r="O20" i="7"/>
  <c r="T20" i="7" s="1"/>
  <c r="S19" i="7"/>
  <c r="O19" i="7"/>
  <c r="S18" i="7"/>
  <c r="O18" i="7"/>
  <c r="S17" i="7"/>
  <c r="O17" i="7"/>
  <c r="S16" i="7"/>
  <c r="O16" i="7"/>
  <c r="S15" i="7"/>
  <c r="O15" i="7"/>
  <c r="S14" i="7"/>
  <c r="O14" i="7"/>
  <c r="S13" i="7"/>
  <c r="O13" i="7"/>
  <c r="S12" i="7"/>
  <c r="O12" i="7"/>
  <c r="T12" i="7" s="1"/>
  <c r="S11" i="7"/>
  <c r="O11" i="7"/>
  <c r="S10" i="7"/>
  <c r="O10" i="7"/>
  <c r="S9" i="7"/>
  <c r="O9" i="7"/>
  <c r="S8" i="7"/>
  <c r="O8" i="7"/>
  <c r="S7" i="7"/>
  <c r="O7" i="7"/>
  <c r="AD8" i="7" l="1"/>
  <c r="AB12" i="7"/>
  <c r="AF12" i="7"/>
  <c r="AE12" i="7"/>
  <c r="AI12" i="7"/>
  <c r="AC12" i="7"/>
  <c r="AG12" i="7"/>
  <c r="AD12" i="7"/>
  <c r="AH12" i="7"/>
  <c r="AF9" i="7"/>
  <c r="AH9" i="7"/>
  <c r="AC16" i="7"/>
  <c r="AH16" i="7"/>
  <c r="AG11" i="7"/>
  <c r="AI11" i="7"/>
  <c r="AB20" i="7"/>
  <c r="AF20" i="7"/>
  <c r="AE20" i="7"/>
  <c r="AC20" i="7"/>
  <c r="AG20" i="7"/>
  <c r="AI20" i="7"/>
  <c r="AD20" i="7"/>
  <c r="AH20" i="7"/>
  <c r="T22" i="7"/>
  <c r="T14" i="7"/>
  <c r="W14" i="7" s="1"/>
  <c r="T13" i="7"/>
  <c r="T17" i="7"/>
  <c r="T19" i="7"/>
  <c r="W13" i="7"/>
  <c r="W17" i="7"/>
  <c r="T15" i="7"/>
  <c r="T18" i="7"/>
  <c r="W20" i="7"/>
  <c r="W12" i="7"/>
  <c r="W19" i="7"/>
  <c r="W22" i="7"/>
  <c r="T16" i="7"/>
  <c r="AB16" i="7" s="1"/>
  <c r="T21" i="7"/>
  <c r="T8" i="7"/>
  <c r="AC8" i="7" s="1"/>
  <c r="T10" i="7"/>
  <c r="AD10" i="7" s="1"/>
  <c r="T7" i="7"/>
  <c r="AB7" i="7" s="1"/>
  <c r="T9" i="7"/>
  <c r="AE9" i="7" s="1"/>
  <c r="T11" i="7"/>
  <c r="AD11" i="7" s="1"/>
  <c r="AD18" i="7" l="1"/>
  <c r="AI18" i="7"/>
  <c r="AH18" i="7"/>
  <c r="AB18" i="7"/>
  <c r="AE18" i="7"/>
  <c r="AG18" i="7"/>
  <c r="AF18" i="7"/>
  <c r="AC18" i="7"/>
  <c r="AC19" i="7"/>
  <c r="AH19" i="7"/>
  <c r="AG19" i="7"/>
  <c r="AE19" i="7"/>
  <c r="AF19" i="7"/>
  <c r="AI19" i="7"/>
  <c r="AD19" i="7"/>
  <c r="AB19" i="7"/>
  <c r="AD22" i="7"/>
  <c r="AC22" i="7"/>
  <c r="AG22" i="7"/>
  <c r="AH22" i="7"/>
  <c r="AB22" i="7"/>
  <c r="AI22" i="7"/>
  <c r="AE22" i="7"/>
  <c r="AF22" i="7"/>
  <c r="AC10" i="7"/>
  <c r="AE10" i="7"/>
  <c r="AE11" i="7"/>
  <c r="AC11" i="7"/>
  <c r="AD16" i="7"/>
  <c r="AI16" i="7"/>
  <c r="AD9" i="7"/>
  <c r="AB9" i="7"/>
  <c r="AF8" i="7"/>
  <c r="AD14" i="7"/>
  <c r="AC14" i="7"/>
  <c r="AH14" i="7"/>
  <c r="AB14" i="7"/>
  <c r="AE14" i="7"/>
  <c r="AF14" i="7"/>
  <c r="AI14" i="7"/>
  <c r="AG14" i="7"/>
  <c r="AE21" i="7"/>
  <c r="AD21" i="7"/>
  <c r="AH21" i="7"/>
  <c r="AI21" i="7"/>
  <c r="AC21" i="7"/>
  <c r="AB21" i="7"/>
  <c r="AG21" i="7"/>
  <c r="AF21" i="7"/>
  <c r="AC15" i="7"/>
  <c r="AF15" i="7"/>
  <c r="AB15" i="7"/>
  <c r="AG15" i="7"/>
  <c r="AE15" i="7"/>
  <c r="AH15" i="7"/>
  <c r="AD15" i="7"/>
  <c r="AI15" i="7"/>
  <c r="AE17" i="7"/>
  <c r="AF17" i="7"/>
  <c r="AH17" i="7"/>
  <c r="AI17" i="7"/>
  <c r="AC17" i="7"/>
  <c r="AD17" i="7"/>
  <c r="AG17" i="7"/>
  <c r="AB17" i="7"/>
  <c r="AF10" i="7"/>
  <c r="AH10" i="7"/>
  <c r="AF11" i="7"/>
  <c r="AJ11" i="7" s="1"/>
  <c r="AL11" i="7" s="1"/>
  <c r="AH11" i="7"/>
  <c r="AE16" i="7"/>
  <c r="AF16" i="7"/>
  <c r="AG9" i="7"/>
  <c r="AM9" i="7" s="1"/>
  <c r="AI9" i="7"/>
  <c r="AG10" i="7"/>
  <c r="AI10" i="7"/>
  <c r="AE13" i="7"/>
  <c r="AD13" i="7"/>
  <c r="AF13" i="7"/>
  <c r="AI13" i="7"/>
  <c r="AH13" i="7"/>
  <c r="AB13" i="7"/>
  <c r="AC13" i="7"/>
  <c r="AG13" i="7"/>
  <c r="AB10" i="7"/>
  <c r="AB11" i="7"/>
  <c r="AG16" i="7"/>
  <c r="AC9" i="7"/>
  <c r="AG8" i="7"/>
  <c r="AI8" i="7"/>
  <c r="AB8" i="7"/>
  <c r="AE8" i="7"/>
  <c r="AH8" i="7"/>
  <c r="AH7" i="7"/>
  <c r="AG7" i="7"/>
  <c r="AE7" i="7"/>
  <c r="AF7" i="7"/>
  <c r="AI7" i="7"/>
  <c r="AC7" i="7"/>
  <c r="AD7" i="7"/>
  <c r="AJ20" i="7"/>
  <c r="AL20" i="7" s="1"/>
  <c r="AM20" i="7"/>
  <c r="AJ12" i="7"/>
  <c r="AL12" i="7" s="1"/>
  <c r="AM12" i="7"/>
  <c r="W15" i="7"/>
  <c r="W10" i="7"/>
  <c r="W16" i="7"/>
  <c r="W11" i="7"/>
  <c r="W8" i="7"/>
  <c r="X8" i="7" s="1"/>
  <c r="W9" i="7"/>
  <c r="X9" i="7" s="1"/>
  <c r="W21" i="7"/>
  <c r="W18" i="7"/>
  <c r="W7" i="7"/>
  <c r="X7" i="7" s="1"/>
  <c r="AJ10" i="7" l="1"/>
  <c r="AL10" i="7" s="1"/>
  <c r="AM10" i="7"/>
  <c r="AM16" i="7"/>
  <c r="AJ16" i="7"/>
  <c r="AL16" i="7" s="1"/>
  <c r="AM11" i="7"/>
  <c r="AJ8" i="7"/>
  <c r="AL8" i="7" s="1"/>
  <c r="AJ13" i="7"/>
  <c r="AL13" i="7" s="1"/>
  <c r="AM13" i="7"/>
  <c r="AJ14" i="7"/>
  <c r="AL14" i="7" s="1"/>
  <c r="AM14" i="7"/>
  <c r="AM22" i="7"/>
  <c r="AJ22" i="7"/>
  <c r="AL22" i="7" s="1"/>
  <c r="AM19" i="7"/>
  <c r="AJ19" i="7"/>
  <c r="AL19" i="7" s="1"/>
  <c r="AM18" i="7"/>
  <c r="AJ18" i="7"/>
  <c r="AL18" i="7" s="1"/>
  <c r="AJ9" i="7"/>
  <c r="AL9" i="7" s="1"/>
  <c r="AJ17" i="7"/>
  <c r="AL17" i="7" s="1"/>
  <c r="AM17" i="7"/>
  <c r="AJ15" i="7"/>
  <c r="AL15" i="7" s="1"/>
  <c r="AM15" i="7"/>
  <c r="AJ21" i="7"/>
  <c r="AL21" i="7" s="1"/>
  <c r="AM21" i="7"/>
  <c r="AJ7" i="7"/>
  <c r="AL7" i="7" s="1"/>
  <c r="AM8" i="7"/>
  <c r="AM7" i="7"/>
  <c r="U12" i="7"/>
  <c r="U20" i="7"/>
  <c r="U19" i="7" l="1"/>
  <c r="U14" i="7"/>
  <c r="U18" i="7"/>
  <c r="U22" i="7"/>
  <c r="U13" i="7"/>
  <c r="U17" i="7"/>
  <c r="U10" i="7"/>
  <c r="U16" i="7"/>
  <c r="U9" i="7"/>
  <c r="U21" i="7"/>
  <c r="U11" i="7"/>
  <c r="U15" i="7"/>
  <c r="U8" i="7"/>
  <c r="U7" i="7"/>
</calcChain>
</file>

<file path=xl/sharedStrings.xml><?xml version="1.0" encoding="utf-8"?>
<sst xmlns="http://schemas.openxmlformats.org/spreadsheetml/2006/main" count="529" uniqueCount="257">
  <si>
    <t>NOM - Prénom</t>
  </si>
  <si>
    <t>P.C.</t>
  </si>
  <si>
    <t>TOTAL</t>
  </si>
  <si>
    <t>Serie</t>
  </si>
  <si>
    <t>IWF</t>
  </si>
  <si>
    <t>NAT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</si>
  <si>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</si>
  <si>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</si>
  <si>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</si>
  <si>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</si>
  <si>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</si>
  <si>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</si>
  <si>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</si>
  <si>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</si>
  <si>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</si>
  <si>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</si>
  <si>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</si>
  <si>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</si>
  <si>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</si>
  <si>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</si>
  <si>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</si>
  <si>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</si>
  <si>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</si>
  <si>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</si>
  <si>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</si>
  <si>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REGIONAL</t>
  </si>
  <si>
    <t>INTERNATIONAL B</t>
  </si>
  <si>
    <t>INTERNATIONAL A</t>
  </si>
  <si>
    <t>OLYMPIQUE</t>
  </si>
  <si>
    <t xml:space="preserve"> </t>
  </si>
  <si>
    <t xml:space="preserve">DEB </t>
  </si>
  <si>
    <t>REG +</t>
  </si>
  <si>
    <t>IRG +</t>
  </si>
  <si>
    <t>FED +</t>
  </si>
  <si>
    <t>NAT +</t>
  </si>
  <si>
    <t>INTB +</t>
  </si>
  <si>
    <t>INTA +</t>
  </si>
  <si>
    <t>OLY +</t>
  </si>
  <si>
    <t>Genre</t>
  </si>
  <si>
    <t/>
  </si>
  <si>
    <t>REGION</t>
  </si>
  <si>
    <t>France</t>
  </si>
  <si>
    <t>EUROPE</t>
  </si>
  <si>
    <t>MONDE</t>
  </si>
  <si>
    <t>FRANCE</t>
  </si>
  <si>
    <t>MON +</t>
  </si>
  <si>
    <t>EUR +</t>
  </si>
  <si>
    <t>FRA +</t>
  </si>
  <si>
    <t>COMPETITION MASTER</t>
  </si>
  <si>
    <t>F</t>
  </si>
  <si>
    <t>H</t>
  </si>
  <si>
    <t>W35</t>
  </si>
  <si>
    <t>W40</t>
  </si>
  <si>
    <t>W45</t>
  </si>
  <si>
    <t>W50</t>
  </si>
  <si>
    <t>W55</t>
  </si>
  <si>
    <t>W60</t>
  </si>
  <si>
    <t>W65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</si>
  <si>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</si>
  <si>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</si>
  <si>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</si>
  <si>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</si>
  <si>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</si>
  <si>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</si>
  <si>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</si>
  <si>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</si>
  <si>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</si>
  <si>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MELTZER</t>
  </si>
  <si>
    <t>CHPT OCCITANIE</t>
  </si>
  <si>
    <t>TOULOUSE</t>
  </si>
  <si>
    <t>BFC</t>
  </si>
  <si>
    <t>DIJON</t>
  </si>
  <si>
    <t>N° licence</t>
  </si>
  <si>
    <t>NOM / Prénom</t>
  </si>
  <si>
    <t>Signature</t>
  </si>
  <si>
    <t>W35 -45</t>
  </si>
  <si>
    <t>W35 -49</t>
  </si>
  <si>
    <t>W35 -55</t>
  </si>
  <si>
    <t>W35 -59</t>
  </si>
  <si>
    <t>W35 -64</t>
  </si>
  <si>
    <t>W35 -71</t>
  </si>
  <si>
    <t>W35 -76</t>
  </si>
  <si>
    <t>W35 -81</t>
  </si>
  <si>
    <t>W35 -87</t>
  </si>
  <si>
    <t>W35 &gt;87</t>
  </si>
  <si>
    <t>W40 -45</t>
  </si>
  <si>
    <t>W40 -49</t>
  </si>
  <si>
    <t>W40 -55</t>
  </si>
  <si>
    <t>W40 -59</t>
  </si>
  <si>
    <t>W40 -64</t>
  </si>
  <si>
    <t>W40 -71</t>
  </si>
  <si>
    <t>W40 -76</t>
  </si>
  <si>
    <t>W40 -81</t>
  </si>
  <si>
    <t>W40 -87</t>
  </si>
  <si>
    <t>W40 &gt;87</t>
  </si>
  <si>
    <t>W45 -45</t>
  </si>
  <si>
    <t>W45 -49</t>
  </si>
  <si>
    <t>W45 -55</t>
  </si>
  <si>
    <t>W45 -59</t>
  </si>
  <si>
    <t>W45 -64</t>
  </si>
  <si>
    <t>W45 -71</t>
  </si>
  <si>
    <t>W45 -76</t>
  </si>
  <si>
    <t>W45 -81</t>
  </si>
  <si>
    <t>W45 -87</t>
  </si>
  <si>
    <t>W45 &gt;87</t>
  </si>
  <si>
    <t>W50 -45</t>
  </si>
  <si>
    <t>W50 -49</t>
  </si>
  <si>
    <t>W50 -55</t>
  </si>
  <si>
    <t>W50 -59</t>
  </si>
  <si>
    <t>W50 -64</t>
  </si>
  <si>
    <t>W50 -71</t>
  </si>
  <si>
    <t>W50 -76</t>
  </si>
  <si>
    <t>W50 -81</t>
  </si>
  <si>
    <t>W50 -87</t>
  </si>
  <si>
    <t>W50 &gt;87</t>
  </si>
  <si>
    <t>W55 -45</t>
  </si>
  <si>
    <t>W55 -49</t>
  </si>
  <si>
    <t>W55 -55</t>
  </si>
  <si>
    <t>W55 -59</t>
  </si>
  <si>
    <t>W55 -64</t>
  </si>
  <si>
    <t>W55 -71</t>
  </si>
  <si>
    <t>W55 -76</t>
  </si>
  <si>
    <t>W55 -81</t>
  </si>
  <si>
    <t>W55 -87</t>
  </si>
  <si>
    <t>W55 &gt;87</t>
  </si>
  <si>
    <t>W60 -45</t>
  </si>
  <si>
    <t>W60 -49</t>
  </si>
  <si>
    <t>W60 -55</t>
  </si>
  <si>
    <t>W60 -59</t>
  </si>
  <si>
    <t>W60 -64</t>
  </si>
  <si>
    <t>W60 -71</t>
  </si>
  <si>
    <t>W60 -76</t>
  </si>
  <si>
    <t>W60 -81</t>
  </si>
  <si>
    <t>W60 -87</t>
  </si>
  <si>
    <t>W60 &gt;87</t>
  </si>
  <si>
    <t>W65 -45</t>
  </si>
  <si>
    <t>W65 -49</t>
  </si>
  <si>
    <t>W65 -55</t>
  </si>
  <si>
    <t>W65 -59</t>
  </si>
  <si>
    <t>W65 -64</t>
  </si>
  <si>
    <t>W65 -71</t>
  </si>
  <si>
    <t>W65 -76</t>
  </si>
  <si>
    <t>W65 -81</t>
  </si>
  <si>
    <t>W65 -87</t>
  </si>
  <si>
    <t>W65 &gt;87</t>
  </si>
  <si>
    <t>W70 -45</t>
  </si>
  <si>
    <t>W70 -49</t>
  </si>
  <si>
    <t>W70 -55</t>
  </si>
  <si>
    <t>W70 -59</t>
  </si>
  <si>
    <t>W70 -64</t>
  </si>
  <si>
    <t>W70 -71</t>
  </si>
  <si>
    <t>W70 -76</t>
  </si>
  <si>
    <t>W70 -81</t>
  </si>
  <si>
    <t>W70 -87</t>
  </si>
  <si>
    <t>W70 &gt;87</t>
  </si>
  <si>
    <t>W70</t>
  </si>
  <si>
    <t>M80</t>
  </si>
  <si>
    <t>M35 -55</t>
  </si>
  <si>
    <t>M35 -61</t>
  </si>
  <si>
    <t>M35 -67</t>
  </si>
  <si>
    <t>M35 -73</t>
  </si>
  <si>
    <t>M35 -81</t>
  </si>
  <si>
    <t>M35 -89</t>
  </si>
  <si>
    <t>M35 -96</t>
  </si>
  <si>
    <t>M35 -102</t>
  </si>
  <si>
    <t>M35 -109</t>
  </si>
  <si>
    <t>M35 &gt;109</t>
  </si>
  <si>
    <t>M40 -55</t>
  </si>
  <si>
    <t>M40 -61</t>
  </si>
  <si>
    <t>M40 -67</t>
  </si>
  <si>
    <t>M40 -73</t>
  </si>
  <si>
    <t>M40 -81</t>
  </si>
  <si>
    <t>M40 -89</t>
  </si>
  <si>
    <t>M40 -96</t>
  </si>
  <si>
    <t>M40 -102</t>
  </si>
  <si>
    <t>M40 -109</t>
  </si>
  <si>
    <t>M40 &gt;109</t>
  </si>
  <si>
    <t>M45 -55</t>
  </si>
  <si>
    <t>M45 -61</t>
  </si>
  <si>
    <t>M45 -67</t>
  </si>
  <si>
    <t>M45 -73</t>
  </si>
  <si>
    <t>M45 -81</t>
  </si>
  <si>
    <t>M45 -89</t>
  </si>
  <si>
    <t>M45 -96</t>
  </si>
  <si>
    <t>M45 -102</t>
  </si>
  <si>
    <t>M45 -109</t>
  </si>
  <si>
    <t>M45 &gt;109</t>
  </si>
  <si>
    <t>M50 -55</t>
  </si>
  <si>
    <t>M50 -61</t>
  </si>
  <si>
    <t>M50 -67</t>
  </si>
  <si>
    <t>M50 -73</t>
  </si>
  <si>
    <t>M50 -81</t>
  </si>
  <si>
    <t>M50 -89</t>
  </si>
  <si>
    <t>M50 -96</t>
  </si>
  <si>
    <t>M50 -102</t>
  </si>
  <si>
    <t>M50 -109</t>
  </si>
  <si>
    <t>M50 &gt;109</t>
  </si>
  <si>
    <t>M55 -55</t>
  </si>
  <si>
    <t>M55 -61</t>
  </si>
  <si>
    <t>M55 -67</t>
  </si>
  <si>
    <t>M55 -73</t>
  </si>
  <si>
    <t>M55 -81</t>
  </si>
  <si>
    <t>M55 -89</t>
  </si>
  <si>
    <t>M55 -96</t>
  </si>
  <si>
    <t>M55 -102</t>
  </si>
  <si>
    <t>M55 -109</t>
  </si>
  <si>
    <t>M55 &gt;109</t>
  </si>
  <si>
    <t>M60 -55</t>
  </si>
  <si>
    <t>M60 -61</t>
  </si>
  <si>
    <t>M60 -67</t>
  </si>
  <si>
    <t>M60 -73</t>
  </si>
  <si>
    <t>M60 -81</t>
  </si>
  <si>
    <t>M60 -89</t>
  </si>
  <si>
    <t>M60 -96</t>
  </si>
  <si>
    <t>M60 -102</t>
  </si>
  <si>
    <t>M60 -109</t>
  </si>
  <si>
    <t>M60 &gt;109</t>
  </si>
  <si>
    <t>M65 -55</t>
  </si>
  <si>
    <t>M65 -61</t>
  </si>
  <si>
    <t>M65 -67</t>
  </si>
  <si>
    <t>M65 -73</t>
  </si>
  <si>
    <t>M65 -81</t>
  </si>
  <si>
    <t>M65 -89</t>
  </si>
  <si>
    <t>M65 -96</t>
  </si>
  <si>
    <t>M65 -102</t>
  </si>
  <si>
    <t>M65 -109</t>
  </si>
  <si>
    <t>M65 &gt;109</t>
  </si>
  <si>
    <t>M70 -55</t>
  </si>
  <si>
    <t>M70 -61</t>
  </si>
  <si>
    <t>M70 -67</t>
  </si>
  <si>
    <t>M70 -73</t>
  </si>
  <si>
    <t>M70 -81</t>
  </si>
  <si>
    <t>M70 -89</t>
  </si>
  <si>
    <t>M70 -96</t>
  </si>
  <si>
    <t>M70 -102</t>
  </si>
  <si>
    <t>M70 -109</t>
  </si>
  <si>
    <t>M70 &gt;109</t>
  </si>
  <si>
    <t>M75 -55</t>
  </si>
  <si>
    <t>M75 -61</t>
  </si>
  <si>
    <t>M75 -67</t>
  </si>
  <si>
    <t>M75 -73</t>
  </si>
  <si>
    <t>M75 -81</t>
  </si>
  <si>
    <t>M75 -89</t>
  </si>
  <si>
    <t>M75 -96</t>
  </si>
  <si>
    <t>M75 -102</t>
  </si>
  <si>
    <t>M75 -109</t>
  </si>
  <si>
    <t>M75 &gt;109</t>
  </si>
  <si>
    <t>M80 -55</t>
  </si>
  <si>
    <t>M80 -61</t>
  </si>
  <si>
    <t>M80 -67</t>
  </si>
  <si>
    <t>M80 -73</t>
  </si>
  <si>
    <t>M80 -81</t>
  </si>
  <si>
    <t>M80 -89</t>
  </si>
  <si>
    <t>M80 -96</t>
  </si>
  <si>
    <t>M80 -102</t>
  </si>
  <si>
    <t>M80 -109</t>
  </si>
  <si>
    <t>M80 &gt;109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</si>
</sst>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"/>
    <numFmt numFmtId="166" formatCode="yy"/>
    <numFmt numFmtId="167" formatCode="[$-40C]d\-mmm\-yy;@"/>
    <numFmt numFmtId="168" formatCode="0.0_)"/>
    <numFmt numFmtId="169" formatCode="0.0000"/>
  </numFmts>
  <fonts count="31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6"/>
      <name val="Calibri"/>
      <family val="2"/>
    </font>
    <font>
      <sz val="16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theme="5" tint="-0.249977111117893"/>
      <name val="Arial"/>
      <family val="2"/>
    </font>
    <font>
      <b/>
      <sz val="16"/>
      <color rgb="FF0000FF"/>
      <name val="Arial"/>
      <family val="2"/>
    </font>
    <font>
      <b/>
      <sz val="18"/>
      <color indexed="8"/>
      <name val="Arial"/>
      <family val="2"/>
    </font>
    <font>
      <b/>
      <sz val="18"/>
      <color theme="5" tint="-0.249977111117893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i/>
      <sz val="16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/>
      <top/>
      <bottom style="dashed">
        <color theme="5" tint="-0.24994659260841701"/>
      </bottom>
      <diagonal/>
    </border>
    <border>
      <left/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dashed">
        <color theme="5" tint="-0.24994659260841701"/>
      </top>
      <bottom style="dashed">
        <color theme="5" tint="-0.24994659260841701"/>
      </bottom>
      <diagonal/>
    </border>
    <border>
      <left/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Border="1" applyAlignment="1" applyProtection="1">
      <alignment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19" fillId="0" borderId="0" xfId="0" applyFont="1"/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Alignment="1" applyProtection="1">
      <alignment horizontal="center" vertical="center"/>
      <protection locked="0" hidden="1"/>
    </xf>
    <xf numFmtId="0" fontId="1" fillId="3" borderId="0" xfId="0" applyFont="1" applyFill="1" applyAlignment="1" applyProtection="1">
      <alignment vertical="center"/>
      <protection locked="0" hidden="1"/>
    </xf>
    <xf numFmtId="0" fontId="3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168" fontId="0" fillId="0" borderId="0" xfId="0" applyNumberFormat="1"/>
    <xf numFmtId="1" fontId="0" fillId="0" borderId="0" xfId="0" applyNumberFormat="1"/>
    <xf numFmtId="0" fontId="0" fillId="0" borderId="0" xfId="0" applyFill="1"/>
    <xf numFmtId="0" fontId="21" fillId="0" borderId="0" xfId="0" applyFont="1" applyFill="1" applyBorder="1"/>
    <xf numFmtId="0" fontId="22" fillId="4" borderId="0" xfId="0" applyFont="1" applyFill="1"/>
    <xf numFmtId="0" fontId="21" fillId="0" borderId="0" xfId="0" applyFont="1" applyFill="1" applyBorder="1" applyAlignment="1">
      <alignment vertical="center"/>
    </xf>
    <xf numFmtId="169" fontId="0" fillId="0" borderId="0" xfId="0" applyNumberFormat="1"/>
    <xf numFmtId="0" fontId="6" fillId="3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right" vertical="center"/>
      <protection locked="0" hidden="1"/>
    </xf>
    <xf numFmtId="0" fontId="2" fillId="3" borderId="0" xfId="0" applyFont="1" applyFill="1" applyAlignment="1" applyProtection="1">
      <alignment horizontal="left" vertical="center"/>
      <protection locked="0" hidden="1"/>
    </xf>
    <xf numFmtId="0" fontId="19" fillId="4" borderId="0" xfId="0" applyFont="1" applyFill="1" applyBorder="1" applyAlignment="1" applyProtection="1">
      <alignment horizontal="center"/>
    </xf>
    <xf numFmtId="0" fontId="19" fillId="4" borderId="0" xfId="0" applyFont="1" applyFill="1" applyAlignment="1" applyProtection="1">
      <alignment horizontal="center"/>
    </xf>
    <xf numFmtId="0" fontId="19" fillId="4" borderId="0" xfId="0" quotePrefix="1" applyFont="1" applyFill="1" applyAlignment="1" applyProtection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1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9" fillId="5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0" fontId="15" fillId="9" borderId="8" xfId="0" applyFont="1" applyFill="1" applyBorder="1" applyAlignment="1" applyProtection="1">
      <alignment horizontal="center" vertical="center"/>
    </xf>
    <xf numFmtId="0" fontId="15" fillId="9" borderId="9" xfId="0" applyFont="1" applyFill="1" applyBorder="1" applyAlignment="1" applyProtection="1">
      <alignment horizontal="center" vertical="center"/>
    </xf>
    <xf numFmtId="164" fontId="15" fillId="9" borderId="9" xfId="0" applyNumberFormat="1" applyFont="1" applyFill="1" applyBorder="1" applyAlignment="1" applyProtection="1">
      <alignment horizontal="center" vertical="center"/>
    </xf>
    <xf numFmtId="164" fontId="15" fillId="9" borderId="10" xfId="0" applyNumberFormat="1" applyFont="1" applyFill="1" applyBorder="1" applyAlignment="1" applyProtection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</xf>
    <xf numFmtId="164" fontId="15" fillId="9" borderId="11" xfId="0" applyNumberFormat="1" applyFont="1" applyFill="1" applyBorder="1" applyAlignment="1" applyProtection="1">
      <alignment horizontal="center" vertical="center"/>
    </xf>
    <xf numFmtId="164" fontId="15" fillId="9" borderId="12" xfId="0" applyNumberFormat="1" applyFont="1" applyFill="1" applyBorder="1" applyAlignment="1" applyProtection="1">
      <alignment horizontal="center" vertical="center"/>
    </xf>
    <xf numFmtId="164" fontId="15" fillId="9" borderId="13" xfId="0" applyNumberFormat="1" applyFont="1" applyFill="1" applyBorder="1" applyAlignment="1" applyProtection="1">
      <alignment horizontal="center" vertical="center"/>
    </xf>
    <xf numFmtId="0" fontId="15" fillId="9" borderId="14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>
      <alignment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0" fillId="2" borderId="9" xfId="0" applyNumberFormat="1" applyFont="1" applyFill="1" applyBorder="1" applyAlignment="1" applyProtection="1">
      <alignment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16" xfId="0" applyNumberFormat="1" applyFont="1" applyFill="1" applyBorder="1" applyAlignment="1" applyProtection="1">
      <alignment horizontal="center" vertical="center"/>
    </xf>
    <xf numFmtId="0" fontId="25" fillId="2" borderId="16" xfId="0" applyNumberFormat="1" applyFont="1" applyFill="1" applyBorder="1" applyAlignment="1" applyProtection="1">
      <alignment horizontal="center" vertical="center"/>
      <protection locked="0"/>
    </xf>
    <xf numFmtId="164" fontId="2" fillId="2" borderId="17" xfId="0" applyNumberFormat="1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vertical="center"/>
      <protection locked="0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2" fontId="20" fillId="2" borderId="22" xfId="0" applyNumberFormat="1" applyFont="1" applyFill="1" applyBorder="1" applyAlignment="1" applyProtection="1">
      <alignment horizontal="center" vertical="center"/>
      <protection locked="0"/>
    </xf>
    <xf numFmtId="1" fontId="26" fillId="16" borderId="23" xfId="0" applyNumberFormat="1" applyFont="1" applyFill="1" applyBorder="1" applyAlignment="1" applyProtection="1">
      <alignment horizontal="center" vertical="center"/>
      <protection locked="0"/>
    </xf>
    <xf numFmtId="1" fontId="8" fillId="17" borderId="25" xfId="0" applyNumberFormat="1" applyFont="1" applyFill="1" applyBorder="1" applyAlignment="1" applyProtection="1">
      <alignment horizontal="center" vertical="center"/>
    </xf>
    <xf numFmtId="1" fontId="4" fillId="2" borderId="24" xfId="0" applyNumberFormat="1" applyFont="1" applyFill="1" applyBorder="1" applyAlignment="1" applyProtection="1">
      <alignment horizontal="center" vertical="center"/>
      <protection locked="0"/>
    </xf>
    <xf numFmtId="1" fontId="27" fillId="2" borderId="26" xfId="0" applyNumberFormat="1" applyFont="1" applyFill="1" applyBorder="1" applyAlignment="1" applyProtection="1">
      <alignment horizontal="center" vertical="center"/>
    </xf>
    <xf numFmtId="0" fontId="7" fillId="2" borderId="27" xfId="0" applyFont="1" applyFill="1" applyBorder="1" applyAlignment="1" applyProtection="1">
      <alignment horizontal="center" vertical="center"/>
    </xf>
    <xf numFmtId="2" fontId="12" fillId="2" borderId="28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1" fillId="2" borderId="29" xfId="0" applyFont="1" applyFill="1" applyBorder="1" applyAlignment="1" applyProtection="1">
      <alignment horizontal="center" vertical="center"/>
    </xf>
    <xf numFmtId="0" fontId="1" fillId="2" borderId="27" xfId="0" applyNumberFormat="1" applyFont="1" applyFill="1" applyBorder="1" applyAlignment="1" applyProtection="1">
      <alignment horizontal="center" vertical="center"/>
    </xf>
    <xf numFmtId="0" fontId="25" fillId="2" borderId="27" xfId="0" applyNumberFormat="1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vertical="center"/>
      <protection locked="0"/>
    </xf>
    <xf numFmtId="0" fontId="2" fillId="3" borderId="27" xfId="0" applyFont="1" applyFill="1" applyBorder="1" applyAlignment="1" applyProtection="1">
      <alignment horizontal="center" vertical="center"/>
      <protection locked="0"/>
    </xf>
    <xf numFmtId="2" fontId="20" fillId="2" borderId="34" xfId="0" applyNumberFormat="1" applyFont="1" applyFill="1" applyBorder="1" applyAlignment="1" applyProtection="1">
      <alignment horizontal="center" vertical="center"/>
      <protection locked="0"/>
    </xf>
    <xf numFmtId="1" fontId="4" fillId="2" borderId="35" xfId="0" applyNumberFormat="1" applyFont="1" applyFill="1" applyBorder="1" applyAlignment="1" applyProtection="1">
      <alignment horizontal="center" vertical="center"/>
      <protection locked="0"/>
    </xf>
    <xf numFmtId="1" fontId="4" fillId="2" borderId="36" xfId="0" applyNumberFormat="1" applyFont="1" applyFill="1" applyBorder="1" applyAlignment="1" applyProtection="1">
      <alignment horizontal="center" vertical="center"/>
      <protection locked="0"/>
    </xf>
    <xf numFmtId="1" fontId="8" fillId="17" borderId="37" xfId="0" applyNumberFormat="1" applyFont="1" applyFill="1" applyBorder="1" applyAlignment="1" applyProtection="1">
      <alignment horizontal="center" vertical="center"/>
    </xf>
    <xf numFmtId="1" fontId="27" fillId="2" borderId="29" xfId="0" applyNumberFormat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0" fontId="28" fillId="3" borderId="41" xfId="0" applyFont="1" applyFill="1" applyBorder="1" applyAlignment="1">
      <alignment horizontal="center" vertical="center"/>
    </xf>
    <xf numFmtId="0" fontId="18" fillId="9" borderId="42" xfId="0" applyFont="1" applyFill="1" applyBorder="1" applyAlignment="1">
      <alignment horizontal="center" vertical="center"/>
    </xf>
    <xf numFmtId="0" fontId="28" fillId="3" borderId="46" xfId="0" applyFont="1" applyFill="1" applyBorder="1" applyAlignment="1">
      <alignment horizontal="center" vertical="center"/>
    </xf>
    <xf numFmtId="0" fontId="18" fillId="9" borderId="47" xfId="0" applyFont="1" applyFill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 applyProtection="1">
      <alignment horizontal="center" vertical="center"/>
    </xf>
    <xf numFmtId="0" fontId="15" fillId="9" borderId="13" xfId="0" applyFont="1" applyFill="1" applyBorder="1" applyAlignment="1" applyProtection="1">
      <alignment horizontal="center" vertical="center"/>
    </xf>
    <xf numFmtId="2" fontId="23" fillId="2" borderId="55" xfId="0" applyNumberFormat="1" applyFont="1" applyFill="1" applyBorder="1" applyAlignment="1" applyProtection="1">
      <alignment horizontal="center" vertical="center"/>
    </xf>
    <xf numFmtId="2" fontId="23" fillId="2" borderId="56" xfId="0" applyNumberFormat="1" applyFont="1" applyFill="1" applyBorder="1" applyAlignment="1" applyProtection="1">
      <alignment horizontal="center" vertical="center"/>
    </xf>
    <xf numFmtId="0" fontId="19" fillId="12" borderId="0" xfId="0" applyFont="1" applyFill="1" applyBorder="1" applyAlignment="1" applyProtection="1">
      <alignment horizontal="center"/>
    </xf>
    <xf numFmtId="0" fontId="19" fillId="12" borderId="0" xfId="0" applyFont="1" applyFill="1" applyAlignment="1" applyProtection="1">
      <alignment horizontal="center"/>
    </xf>
    <xf numFmtId="0" fontId="19" fillId="12" borderId="0" xfId="0" quotePrefix="1" applyFont="1" applyFill="1" applyAlignment="1" applyProtection="1">
      <alignment horizontal="center"/>
    </xf>
    <xf numFmtId="0" fontId="19" fillId="9" borderId="0" xfId="0" applyFont="1" applyFill="1" applyBorder="1" applyAlignment="1" applyProtection="1">
      <alignment horizontal="center"/>
    </xf>
    <xf numFmtId="0" fontId="19" fillId="9" borderId="0" xfId="0" applyFont="1" applyFill="1" applyAlignment="1" applyProtection="1">
      <alignment horizontal="center"/>
    </xf>
    <xf numFmtId="0" fontId="19" fillId="9" borderId="0" xfId="0" quotePrefix="1" applyFont="1" applyFill="1" applyAlignment="1" applyProtection="1">
      <alignment horizontal="center"/>
    </xf>
    <xf numFmtId="0" fontId="19" fillId="13" borderId="0" xfId="0" applyFont="1" applyFill="1" applyBorder="1" applyAlignment="1" applyProtection="1">
      <alignment horizontal="center"/>
    </xf>
    <xf numFmtId="0" fontId="19" fillId="13" borderId="0" xfId="0" applyFont="1" applyFill="1" applyAlignment="1" applyProtection="1">
      <alignment horizontal="center"/>
    </xf>
    <xf numFmtId="0" fontId="19" fillId="13" borderId="0" xfId="0" quotePrefix="1" applyFont="1" applyFill="1" applyAlignment="1" applyProtection="1">
      <alignment horizontal="center"/>
    </xf>
    <xf numFmtId="0" fontId="19" fillId="14" borderId="0" xfId="0" applyFont="1" applyFill="1" applyBorder="1" applyAlignment="1" applyProtection="1">
      <alignment horizontal="center"/>
    </xf>
    <xf numFmtId="0" fontId="19" fillId="14" borderId="0" xfId="0" applyFont="1" applyFill="1" applyAlignment="1" applyProtection="1">
      <alignment horizontal="center"/>
    </xf>
    <xf numFmtId="0" fontId="19" fillId="14" borderId="0" xfId="0" quotePrefix="1" applyFont="1" applyFill="1" applyAlignment="1" applyProtection="1">
      <alignment horizontal="center"/>
    </xf>
    <xf numFmtId="0" fontId="19" fillId="15" borderId="0" xfId="0" applyFont="1" applyFill="1" applyBorder="1" applyAlignment="1" applyProtection="1">
      <alignment horizontal="center"/>
    </xf>
    <xf numFmtId="0" fontId="19" fillId="15" borderId="0" xfId="0" applyFont="1" applyFill="1" applyAlignment="1" applyProtection="1">
      <alignment horizontal="center"/>
    </xf>
    <xf numFmtId="0" fontId="19" fillId="15" borderId="0" xfId="0" quotePrefix="1" applyFont="1" applyFill="1" applyAlignment="1" applyProtection="1">
      <alignment horizontal="center"/>
    </xf>
    <xf numFmtId="0" fontId="19" fillId="6" borderId="0" xfId="0" applyFont="1" applyFill="1" applyBorder="1" applyAlignment="1" applyProtection="1">
      <alignment horizontal="center"/>
    </xf>
    <xf numFmtId="0" fontId="19" fillId="6" borderId="0" xfId="0" applyFont="1" applyFill="1" applyAlignment="1" applyProtection="1">
      <alignment horizontal="center"/>
    </xf>
    <xf numFmtId="0" fontId="19" fillId="6" borderId="0" xfId="0" quotePrefix="1" applyFont="1" applyFill="1" applyAlignment="1" applyProtection="1">
      <alignment horizontal="center"/>
    </xf>
    <xf numFmtId="0" fontId="19" fillId="5" borderId="0" xfId="0" applyFont="1" applyFill="1" applyBorder="1" applyAlignment="1" applyProtection="1">
      <alignment horizontal="center"/>
    </xf>
    <xf numFmtId="0" fontId="19" fillId="5" borderId="0" xfId="0" applyFont="1" applyFill="1" applyAlignment="1" applyProtection="1">
      <alignment horizontal="center"/>
    </xf>
    <xf numFmtId="0" fontId="19" fillId="5" borderId="0" xfId="0" quotePrefix="1" applyFont="1" applyFill="1" applyAlignment="1" applyProtection="1">
      <alignment horizontal="center"/>
    </xf>
    <xf numFmtId="0" fontId="0" fillId="18" borderId="0" xfId="0" applyFill="1" applyBorder="1" applyAlignment="1">
      <alignment horizontal="center"/>
    </xf>
    <xf numFmtId="0" fontId="19" fillId="18" borderId="0" xfId="0" applyFont="1" applyFill="1" applyBorder="1" applyAlignment="1" applyProtection="1">
      <alignment horizontal="center"/>
    </xf>
    <xf numFmtId="0" fontId="19" fillId="18" borderId="0" xfId="0" applyFont="1" applyFill="1" applyAlignment="1" applyProtection="1">
      <alignment horizontal="center"/>
    </xf>
    <xf numFmtId="0" fontId="1" fillId="18" borderId="0" xfId="0" applyFont="1" applyFill="1" applyBorder="1" applyAlignment="1" applyProtection="1">
      <alignment horizontal="center"/>
    </xf>
    <xf numFmtId="0" fontId="1" fillId="18" borderId="0" xfId="0" applyFont="1" applyFill="1" applyBorder="1" applyAlignment="1">
      <alignment horizontal="center"/>
    </xf>
    <xf numFmtId="0" fontId="1" fillId="18" borderId="0" xfId="0" applyFont="1" applyFill="1" applyAlignment="1" applyProtection="1">
      <alignment horizontal="center"/>
    </xf>
    <xf numFmtId="0" fontId="1" fillId="0" borderId="0" xfId="0" applyFont="1"/>
    <xf numFmtId="0" fontId="1" fillId="6" borderId="0" xfId="0" applyFont="1" applyFill="1" applyBorder="1" applyAlignment="1" applyProtection="1">
      <alignment horizontal="center"/>
    </xf>
    <xf numFmtId="0" fontId="1" fillId="18" borderId="0" xfId="0" applyFont="1" applyFill="1" applyBorder="1" applyAlignment="1">
      <alignment horizontal="left"/>
    </xf>
    <xf numFmtId="0" fontId="19" fillId="18" borderId="0" xfId="0" applyFont="1" applyFill="1" applyBorder="1" applyAlignment="1" applyProtection="1">
      <alignment horizontal="left"/>
    </xf>
    <xf numFmtId="0" fontId="1" fillId="18" borderId="0" xfId="0" applyFont="1" applyFill="1" applyBorder="1" applyAlignment="1" applyProtection="1">
      <alignment horizontal="left"/>
    </xf>
    <xf numFmtId="0" fontId="1" fillId="18" borderId="0" xfId="0" applyFont="1" applyFill="1" applyAlignment="1" applyProtection="1">
      <alignment horizontal="left"/>
    </xf>
    <xf numFmtId="0" fontId="1" fillId="18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7" borderId="0" xfId="0" applyFont="1" applyFill="1" applyBorder="1" applyAlignment="1" applyProtection="1">
      <alignment horizontal="center"/>
    </xf>
    <xf numFmtId="0" fontId="1" fillId="8" borderId="0" xfId="0" applyFont="1" applyFill="1" applyBorder="1" applyAlignment="1" applyProtection="1">
      <alignment horizontal="center"/>
    </xf>
    <xf numFmtId="0" fontId="1" fillId="9" borderId="0" xfId="0" applyFont="1" applyFill="1" applyBorder="1" applyAlignment="1" applyProtection="1">
      <alignment horizontal="center"/>
    </xf>
    <xf numFmtId="0" fontId="1" fillId="10" borderId="0" xfId="0" applyFont="1" applyFill="1" applyBorder="1" applyAlignment="1" applyProtection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1" fontId="19" fillId="8" borderId="0" xfId="0" applyNumberFormat="1" applyFont="1" applyFill="1" applyAlignment="1">
      <alignment horizontal="center"/>
    </xf>
    <xf numFmtId="0" fontId="30" fillId="0" borderId="0" xfId="0" applyFont="1" applyFill="1" applyBorder="1" applyAlignment="1">
      <alignment vertical="center"/>
    </xf>
    <xf numFmtId="169" fontId="30" fillId="0" borderId="0" xfId="0" applyNumberFormat="1" applyFont="1" applyFill="1" applyBorder="1" applyAlignment="1">
      <alignment vertical="center"/>
    </xf>
    <xf numFmtId="1" fontId="0" fillId="9" borderId="0" xfId="0" applyNumberFormat="1" applyFill="1" applyAlignment="1">
      <alignment horizontal="center"/>
    </xf>
    <xf numFmtId="0" fontId="1" fillId="19" borderId="0" xfId="0" applyFont="1" applyFill="1" applyBorder="1" applyAlignment="1" applyProtection="1">
      <alignment horizontal="center"/>
    </xf>
    <xf numFmtId="1" fontId="0" fillId="19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2" fontId="23" fillId="2" borderId="57" xfId="0" applyNumberFormat="1" applyFont="1" applyFill="1" applyBorder="1" applyAlignment="1" applyProtection="1">
      <alignment horizontal="center" vertical="center"/>
    </xf>
    <xf numFmtId="164" fontId="2" fillId="2" borderId="18" xfId="0" applyNumberFormat="1" applyFont="1" applyFill="1" applyBorder="1" applyAlignment="1" applyProtection="1">
      <alignment horizontal="left" vertical="center"/>
      <protection locked="0"/>
    </xf>
    <xf numFmtId="1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30" xfId="0" applyNumberFormat="1" applyFont="1" applyFill="1" applyBorder="1" applyAlignment="1" applyProtection="1">
      <alignment horizontal="left" vertical="center"/>
      <protection locked="0"/>
    </xf>
    <xf numFmtId="1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167" fontId="24" fillId="2" borderId="6" xfId="0" applyNumberFormat="1" applyFont="1" applyFill="1" applyBorder="1" applyAlignment="1">
      <alignment horizontal="center" vertical="center"/>
    </xf>
    <xf numFmtId="167" fontId="24" fillId="2" borderId="7" xfId="0" applyNumberFormat="1" applyFont="1" applyFill="1" applyBorder="1" applyAlignment="1">
      <alignment horizontal="center" vertical="center"/>
    </xf>
    <xf numFmtId="0" fontId="29" fillId="3" borderId="47" xfId="0" applyFont="1" applyFill="1" applyBorder="1" applyAlignment="1">
      <alignment horizontal="center" vertical="center"/>
    </xf>
    <xf numFmtId="0" fontId="29" fillId="3" borderId="48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left" vertical="top"/>
    </xf>
    <xf numFmtId="0" fontId="1" fillId="3" borderId="39" xfId="0" applyFont="1" applyFill="1" applyBorder="1" applyAlignment="1">
      <alignment horizontal="left" vertical="top"/>
    </xf>
    <xf numFmtId="0" fontId="1" fillId="3" borderId="40" xfId="0" applyFont="1" applyFill="1" applyBorder="1" applyAlignment="1">
      <alignment horizontal="left" vertical="top"/>
    </xf>
    <xf numFmtId="0" fontId="1" fillId="3" borderId="44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45" xfId="0" applyFont="1" applyFill="1" applyBorder="1" applyAlignment="1">
      <alignment horizontal="left" vertical="top"/>
    </xf>
    <xf numFmtId="0" fontId="1" fillId="3" borderId="49" xfId="0" applyFont="1" applyFill="1" applyBorder="1" applyAlignment="1">
      <alignment horizontal="left" vertical="top"/>
    </xf>
    <xf numFmtId="0" fontId="1" fillId="3" borderId="50" xfId="0" applyFont="1" applyFill="1" applyBorder="1" applyAlignment="1">
      <alignment horizontal="left" vertical="top"/>
    </xf>
    <xf numFmtId="0" fontId="1" fillId="3" borderId="51" xfId="0" applyFont="1" applyFill="1" applyBorder="1" applyAlignment="1">
      <alignment horizontal="left" vertical="top"/>
    </xf>
    <xf numFmtId="0" fontId="29" fillId="3" borderId="42" xfId="0" applyFont="1" applyFill="1" applyBorder="1" applyAlignment="1">
      <alignment horizontal="center" vertical="center"/>
    </xf>
    <xf numFmtId="0" fontId="29" fillId="3" borderId="43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99"/>
      <color rgb="FF66FF66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CD105"/>
  <sheetViews>
    <sheetView zoomScaleNormal="100" workbookViewId="0">
      <selection activeCell="C13" sqref="C13"/>
    </sheetView>
  </sheetViews>
  <sheetFormatPr baseColWidth="10" defaultColWidth="11.42578125" defaultRowHeight="12.75" x14ac:dyDescent="0.2"/>
  <cols>
    <col min="2" max="2" width="17.85546875" bestFit="1" customWidth="1"/>
    <col min="3" max="78" width="11.42578125" style="59"/>
  </cols>
  <sheetData>
    <row r="1" spans="1:82" x14ac:dyDescent="0.2">
      <c r="C1" s="56" t="s">
        <v>75</v>
      </c>
      <c r="D1" s="57" t="s">
        <v>76</v>
      </c>
      <c r="E1" s="57" t="s">
        <v>77</v>
      </c>
      <c r="F1" s="57" t="s">
        <v>78</v>
      </c>
      <c r="G1" s="57" t="s">
        <v>79</v>
      </c>
      <c r="H1" s="57" t="s">
        <v>80</v>
      </c>
      <c r="I1" s="58" t="s">
        <v>81</v>
      </c>
      <c r="J1" s="58" t="s">
        <v>82</v>
      </c>
      <c r="K1" s="58" t="s">
        <v>83</v>
      </c>
      <c r="L1" s="58" t="s">
        <v>84</v>
      </c>
      <c r="M1" s="147" t="s">
        <v>85</v>
      </c>
      <c r="N1" s="148" t="s">
        <v>86</v>
      </c>
      <c r="O1" s="148" t="s">
        <v>87</v>
      </c>
      <c r="P1" s="148" t="s">
        <v>88</v>
      </c>
      <c r="Q1" s="148" t="s">
        <v>89</v>
      </c>
      <c r="R1" s="148" t="s">
        <v>90</v>
      </c>
      <c r="S1" s="149" t="s">
        <v>91</v>
      </c>
      <c r="T1" s="149" t="s">
        <v>92</v>
      </c>
      <c r="U1" s="149" t="s">
        <v>93</v>
      </c>
      <c r="V1" s="149" t="s">
        <v>94</v>
      </c>
      <c r="W1" s="150" t="s">
        <v>95</v>
      </c>
      <c r="X1" s="151" t="s">
        <v>96</v>
      </c>
      <c r="Y1" s="151" t="s">
        <v>97</v>
      </c>
      <c r="Z1" s="151" t="s">
        <v>98</v>
      </c>
      <c r="AA1" s="151" t="s">
        <v>99</v>
      </c>
      <c r="AB1" s="151" t="s">
        <v>100</v>
      </c>
      <c r="AC1" s="152" t="s">
        <v>101</v>
      </c>
      <c r="AD1" s="152" t="s">
        <v>102</v>
      </c>
      <c r="AE1" s="152" t="s">
        <v>103</v>
      </c>
      <c r="AF1" s="152" t="s">
        <v>104</v>
      </c>
      <c r="AG1" s="153" t="s">
        <v>105</v>
      </c>
      <c r="AH1" s="154" t="s">
        <v>106</v>
      </c>
      <c r="AI1" s="154" t="s">
        <v>107</v>
      </c>
      <c r="AJ1" s="154" t="s">
        <v>108</v>
      </c>
      <c r="AK1" s="154" t="s">
        <v>109</v>
      </c>
      <c r="AL1" s="154" t="s">
        <v>110</v>
      </c>
      <c r="AM1" s="155" t="s">
        <v>111</v>
      </c>
      <c r="AN1" s="155" t="s">
        <v>112</v>
      </c>
      <c r="AO1" s="155" t="s">
        <v>113</v>
      </c>
      <c r="AP1" s="155" t="s">
        <v>114</v>
      </c>
      <c r="AQ1" s="156" t="s">
        <v>115</v>
      </c>
      <c r="AR1" s="157" t="s">
        <v>116</v>
      </c>
      <c r="AS1" s="157" t="s">
        <v>117</v>
      </c>
      <c r="AT1" s="157" t="s">
        <v>118</v>
      </c>
      <c r="AU1" s="157" t="s">
        <v>119</v>
      </c>
      <c r="AV1" s="157" t="s">
        <v>120</v>
      </c>
      <c r="AW1" s="158" t="s">
        <v>121</v>
      </c>
      <c r="AX1" s="158" t="s">
        <v>122</v>
      </c>
      <c r="AY1" s="158" t="s">
        <v>123</v>
      </c>
      <c r="AZ1" s="158" t="s">
        <v>124</v>
      </c>
      <c r="BA1" s="159" t="s">
        <v>125</v>
      </c>
      <c r="BB1" s="160" t="s">
        <v>126</v>
      </c>
      <c r="BC1" s="160" t="s">
        <v>127</v>
      </c>
      <c r="BD1" s="160" t="s">
        <v>128</v>
      </c>
      <c r="BE1" s="160" t="s">
        <v>129</v>
      </c>
      <c r="BF1" s="160" t="s">
        <v>130</v>
      </c>
      <c r="BG1" s="161" t="s">
        <v>131</v>
      </c>
      <c r="BH1" s="161" t="s">
        <v>132</v>
      </c>
      <c r="BI1" s="161" t="s">
        <v>133</v>
      </c>
      <c r="BJ1" s="161" t="s">
        <v>134</v>
      </c>
      <c r="BK1" s="162" t="s">
        <v>135</v>
      </c>
      <c r="BL1" s="163" t="s">
        <v>136</v>
      </c>
      <c r="BM1" s="163" t="s">
        <v>137</v>
      </c>
      <c r="BN1" s="163" t="s">
        <v>138</v>
      </c>
      <c r="BO1" s="163" t="s">
        <v>139</v>
      </c>
      <c r="BP1" s="163" t="s">
        <v>140</v>
      </c>
      <c r="BQ1" s="164" t="s">
        <v>141</v>
      </c>
      <c r="BR1" s="164" t="s">
        <v>142</v>
      </c>
      <c r="BS1" s="164" t="s">
        <v>143</v>
      </c>
      <c r="BT1" s="164" t="s">
        <v>144</v>
      </c>
      <c r="BU1" s="165" t="s">
        <v>145</v>
      </c>
      <c r="BV1" s="166" t="s">
        <v>146</v>
      </c>
      <c r="BW1" s="166" t="s">
        <v>147</v>
      </c>
      <c r="BX1" s="166" t="s">
        <v>148</v>
      </c>
      <c r="BY1" s="166" t="s">
        <v>149</v>
      </c>
      <c r="BZ1" s="166" t="s">
        <v>150</v>
      </c>
      <c r="CA1" s="167" t="s">
        <v>151</v>
      </c>
      <c r="CB1" s="167" t="s">
        <v>152</v>
      </c>
      <c r="CC1" s="167" t="s">
        <v>153</v>
      </c>
      <c r="CD1" s="167" t="s">
        <v>154</v>
      </c>
    </row>
    <row r="2" spans="1:82" x14ac:dyDescent="0.2"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1"/>
      <c r="BF2" s="60"/>
      <c r="BG2" s="60"/>
      <c r="BH2" s="60"/>
      <c r="BI2" s="60"/>
      <c r="BJ2" s="60"/>
      <c r="BK2" s="61"/>
      <c r="BL2" s="60"/>
      <c r="BM2" s="60"/>
      <c r="BU2" s="62" t="s">
        <v>29</v>
      </c>
      <c r="CA2" s="59"/>
      <c r="CB2" s="59"/>
      <c r="CC2" s="59"/>
      <c r="CD2" s="59"/>
    </row>
    <row r="3" spans="1:82" x14ac:dyDescent="0.2">
      <c r="B3" s="174" t="s">
        <v>40</v>
      </c>
      <c r="C3" s="63">
        <v>50</v>
      </c>
      <c r="D3" s="63">
        <v>55</v>
      </c>
      <c r="E3" s="63">
        <v>60</v>
      </c>
      <c r="F3" s="63">
        <v>65</v>
      </c>
      <c r="G3" s="63">
        <v>70</v>
      </c>
      <c r="H3" s="63">
        <v>74</v>
      </c>
      <c r="I3" s="63">
        <v>77</v>
      </c>
      <c r="J3" s="63">
        <v>80</v>
      </c>
      <c r="K3" s="63">
        <v>85</v>
      </c>
      <c r="L3" s="63">
        <v>90</v>
      </c>
      <c r="M3" s="64">
        <v>47</v>
      </c>
      <c r="N3" s="64">
        <v>50</v>
      </c>
      <c r="O3" s="64">
        <v>55</v>
      </c>
      <c r="P3" s="64">
        <v>30</v>
      </c>
      <c r="Q3" s="64">
        <v>62</v>
      </c>
      <c r="R3" s="64">
        <v>65</v>
      </c>
      <c r="S3" s="64">
        <v>67</v>
      </c>
      <c r="T3" s="64">
        <v>70</v>
      </c>
      <c r="U3" s="64">
        <v>75</v>
      </c>
      <c r="V3" s="64">
        <v>80</v>
      </c>
      <c r="W3" s="65">
        <v>45</v>
      </c>
      <c r="X3" s="65">
        <v>47</v>
      </c>
      <c r="Y3" s="65">
        <v>52</v>
      </c>
      <c r="Z3" s="65">
        <v>55</v>
      </c>
      <c r="AA3" s="65">
        <v>57</v>
      </c>
      <c r="AB3" s="65">
        <v>60</v>
      </c>
      <c r="AC3" s="65">
        <v>62</v>
      </c>
      <c r="AD3" s="65">
        <v>65</v>
      </c>
      <c r="AE3" s="65">
        <v>70</v>
      </c>
      <c r="AF3" s="65">
        <v>75</v>
      </c>
      <c r="AG3" s="66">
        <v>42</v>
      </c>
      <c r="AH3" s="66">
        <v>45</v>
      </c>
      <c r="AI3" s="66">
        <v>47</v>
      </c>
      <c r="AJ3" s="66">
        <v>52</v>
      </c>
      <c r="AK3" s="66">
        <v>55</v>
      </c>
      <c r="AL3" s="66">
        <v>57</v>
      </c>
      <c r="AM3" s="66">
        <v>60</v>
      </c>
      <c r="AN3" s="66">
        <v>62</v>
      </c>
      <c r="AO3" s="66">
        <v>65</v>
      </c>
      <c r="AP3" s="66">
        <v>67</v>
      </c>
      <c r="AQ3" s="67">
        <v>38</v>
      </c>
      <c r="AR3" s="67">
        <v>42</v>
      </c>
      <c r="AS3" s="67">
        <v>45</v>
      </c>
      <c r="AT3" s="67">
        <v>47</v>
      </c>
      <c r="AU3" s="67">
        <v>50</v>
      </c>
      <c r="AV3" s="67">
        <v>52</v>
      </c>
      <c r="AW3" s="67">
        <v>55</v>
      </c>
      <c r="AX3" s="67">
        <v>57</v>
      </c>
      <c r="AY3" s="67">
        <v>60</v>
      </c>
      <c r="AZ3" s="67">
        <v>62</v>
      </c>
      <c r="BA3" s="68">
        <v>36</v>
      </c>
      <c r="BB3" s="68">
        <v>40</v>
      </c>
      <c r="BC3" s="68">
        <v>42</v>
      </c>
      <c r="BD3" s="68">
        <v>45</v>
      </c>
      <c r="BE3" s="68">
        <v>47</v>
      </c>
      <c r="BF3" s="68">
        <v>50</v>
      </c>
      <c r="BG3" s="68">
        <v>52</v>
      </c>
      <c r="BH3" s="68">
        <v>55</v>
      </c>
      <c r="BI3" s="68">
        <v>57</v>
      </c>
      <c r="BJ3" s="68">
        <v>60</v>
      </c>
      <c r="BK3" s="69">
        <v>33</v>
      </c>
      <c r="BL3" s="70">
        <v>37</v>
      </c>
      <c r="BM3" s="70">
        <v>40</v>
      </c>
      <c r="BN3" s="70">
        <v>42</v>
      </c>
      <c r="BO3" s="70">
        <v>45</v>
      </c>
      <c r="BP3" s="70">
        <v>47</v>
      </c>
      <c r="BQ3" s="70">
        <v>50</v>
      </c>
      <c r="BR3" s="70">
        <v>52</v>
      </c>
      <c r="BS3" s="70">
        <v>55</v>
      </c>
      <c r="BT3" s="70">
        <v>57</v>
      </c>
      <c r="BU3" s="71">
        <v>30</v>
      </c>
      <c r="BV3" s="71">
        <v>34</v>
      </c>
      <c r="BW3" s="71">
        <v>38</v>
      </c>
      <c r="BX3" s="71">
        <v>40</v>
      </c>
      <c r="BY3" s="71">
        <v>42</v>
      </c>
      <c r="BZ3" s="71">
        <v>45</v>
      </c>
      <c r="CA3" s="71">
        <v>47</v>
      </c>
      <c r="CB3" s="71">
        <v>50</v>
      </c>
      <c r="CC3" s="71">
        <v>52</v>
      </c>
      <c r="CD3" s="71">
        <v>54</v>
      </c>
    </row>
    <row r="4" spans="1:82" x14ac:dyDescent="0.2">
      <c r="B4" s="174" t="s">
        <v>44</v>
      </c>
      <c r="C4" s="63">
        <v>65</v>
      </c>
      <c r="D4" s="63">
        <v>72</v>
      </c>
      <c r="E4" s="63">
        <v>80</v>
      </c>
      <c r="F4" s="63">
        <v>85</v>
      </c>
      <c r="G4" s="63">
        <v>90</v>
      </c>
      <c r="H4" s="63">
        <v>94</v>
      </c>
      <c r="I4" s="63">
        <v>97</v>
      </c>
      <c r="J4" s="63">
        <v>100</v>
      </c>
      <c r="K4" s="63">
        <v>105</v>
      </c>
      <c r="L4" s="63">
        <v>110</v>
      </c>
      <c r="M4" s="64">
        <v>60</v>
      </c>
      <c r="N4" s="64">
        <v>67</v>
      </c>
      <c r="O4" s="64">
        <v>72</v>
      </c>
      <c r="P4" s="64">
        <v>77</v>
      </c>
      <c r="Q4" s="64">
        <v>82</v>
      </c>
      <c r="R4" s="64">
        <v>87</v>
      </c>
      <c r="S4" s="64">
        <v>90</v>
      </c>
      <c r="T4" s="64">
        <v>92</v>
      </c>
      <c r="U4" s="64">
        <v>95</v>
      </c>
      <c r="V4" s="64">
        <v>100</v>
      </c>
      <c r="W4" s="65">
        <v>56</v>
      </c>
      <c r="X4" s="65">
        <v>62</v>
      </c>
      <c r="Y4" s="65">
        <v>67</v>
      </c>
      <c r="Z4" s="65">
        <v>72</v>
      </c>
      <c r="AA4" s="65">
        <v>77</v>
      </c>
      <c r="AB4" s="65">
        <v>80</v>
      </c>
      <c r="AC4" s="65">
        <v>82</v>
      </c>
      <c r="AD4" s="65">
        <v>85</v>
      </c>
      <c r="AE4" s="65">
        <v>90</v>
      </c>
      <c r="AF4" s="65">
        <v>95</v>
      </c>
      <c r="AG4" s="66">
        <v>52</v>
      </c>
      <c r="AH4" s="66">
        <v>57</v>
      </c>
      <c r="AI4" s="66">
        <v>62</v>
      </c>
      <c r="AJ4" s="66">
        <v>67</v>
      </c>
      <c r="AK4" s="66">
        <v>70</v>
      </c>
      <c r="AL4" s="66">
        <v>72</v>
      </c>
      <c r="AM4" s="66">
        <v>75</v>
      </c>
      <c r="AN4" s="66">
        <v>80</v>
      </c>
      <c r="AO4" s="66">
        <v>82</v>
      </c>
      <c r="AP4" s="66">
        <v>85</v>
      </c>
      <c r="AQ4" s="67">
        <v>46</v>
      </c>
      <c r="AR4" s="67">
        <v>50</v>
      </c>
      <c r="AS4" s="67">
        <v>55</v>
      </c>
      <c r="AT4" s="67">
        <v>60</v>
      </c>
      <c r="AU4" s="67">
        <v>65</v>
      </c>
      <c r="AV4" s="67">
        <v>67</v>
      </c>
      <c r="AW4" s="67">
        <v>70</v>
      </c>
      <c r="AX4" s="67">
        <v>75</v>
      </c>
      <c r="AY4" s="67">
        <v>77</v>
      </c>
      <c r="AZ4" s="67">
        <v>80</v>
      </c>
      <c r="BA4" s="68">
        <v>44</v>
      </c>
      <c r="BB4" s="68">
        <v>47</v>
      </c>
      <c r="BC4" s="68">
        <v>50</v>
      </c>
      <c r="BD4" s="68">
        <v>55</v>
      </c>
      <c r="BE4" s="68">
        <v>60</v>
      </c>
      <c r="BF4" s="68">
        <v>62</v>
      </c>
      <c r="BG4" s="68">
        <v>65</v>
      </c>
      <c r="BH4" s="68">
        <v>67</v>
      </c>
      <c r="BI4" s="68">
        <v>70</v>
      </c>
      <c r="BJ4" s="68">
        <v>73</v>
      </c>
      <c r="BK4" s="69">
        <v>40</v>
      </c>
      <c r="BL4" s="69">
        <v>43</v>
      </c>
      <c r="BM4" s="69">
        <v>47</v>
      </c>
      <c r="BN4" s="69">
        <v>50</v>
      </c>
      <c r="BO4" s="69">
        <v>52</v>
      </c>
      <c r="BP4" s="69">
        <v>57</v>
      </c>
      <c r="BQ4" s="69">
        <v>60</v>
      </c>
      <c r="BR4" s="69">
        <v>62</v>
      </c>
      <c r="BS4" s="69">
        <v>64</v>
      </c>
      <c r="BT4" s="69">
        <v>66</v>
      </c>
      <c r="BU4" s="71">
        <v>36</v>
      </c>
      <c r="BV4" s="71">
        <v>39</v>
      </c>
      <c r="BW4" s="71">
        <v>42</v>
      </c>
      <c r="BX4" s="71">
        <v>45</v>
      </c>
      <c r="BY4" s="71">
        <v>48</v>
      </c>
      <c r="BZ4" s="71">
        <v>50</v>
      </c>
      <c r="CA4" s="71">
        <v>52</v>
      </c>
      <c r="CB4" s="71">
        <v>54</v>
      </c>
      <c r="CC4" s="71">
        <v>56</v>
      </c>
      <c r="CD4" s="71">
        <v>58</v>
      </c>
    </row>
    <row r="5" spans="1:82" x14ac:dyDescent="0.2">
      <c r="B5" s="174" t="s">
        <v>42</v>
      </c>
      <c r="C5" s="63">
        <v>79</v>
      </c>
      <c r="D5" s="63">
        <v>85</v>
      </c>
      <c r="E5" s="63">
        <v>93</v>
      </c>
      <c r="F5" s="63">
        <v>98</v>
      </c>
      <c r="G5" s="63">
        <v>104</v>
      </c>
      <c r="H5" s="63">
        <v>111</v>
      </c>
      <c r="I5" s="63">
        <v>115</v>
      </c>
      <c r="J5" s="63">
        <v>119</v>
      </c>
      <c r="K5" s="63">
        <v>123</v>
      </c>
      <c r="L5" s="63">
        <v>123</v>
      </c>
      <c r="M5" s="64">
        <v>74</v>
      </c>
      <c r="N5" s="64">
        <v>80</v>
      </c>
      <c r="O5" s="64">
        <v>88</v>
      </c>
      <c r="P5" s="64">
        <v>93</v>
      </c>
      <c r="Q5" s="64">
        <v>98</v>
      </c>
      <c r="R5" s="64">
        <v>105</v>
      </c>
      <c r="S5" s="64">
        <v>109</v>
      </c>
      <c r="T5" s="64">
        <v>112</v>
      </c>
      <c r="U5" s="64">
        <v>116</v>
      </c>
      <c r="V5" s="64">
        <v>119</v>
      </c>
      <c r="W5" s="65">
        <v>70</v>
      </c>
      <c r="X5" s="65">
        <v>76</v>
      </c>
      <c r="Y5" s="65">
        <v>83</v>
      </c>
      <c r="Z5" s="65">
        <v>87</v>
      </c>
      <c r="AA5" s="65">
        <v>92</v>
      </c>
      <c r="AB5" s="65">
        <v>99</v>
      </c>
      <c r="AC5" s="65">
        <v>102</v>
      </c>
      <c r="AD5" s="65">
        <v>106</v>
      </c>
      <c r="AE5" s="65">
        <v>109</v>
      </c>
      <c r="AF5" s="65">
        <v>112</v>
      </c>
      <c r="AG5" s="66">
        <v>66</v>
      </c>
      <c r="AH5" s="66">
        <v>71</v>
      </c>
      <c r="AI5" s="66">
        <v>78</v>
      </c>
      <c r="AJ5" s="66">
        <v>82</v>
      </c>
      <c r="AK5" s="66">
        <v>87</v>
      </c>
      <c r="AL5" s="66">
        <v>92</v>
      </c>
      <c r="AM5" s="66">
        <v>96</v>
      </c>
      <c r="AN5" s="66">
        <v>99</v>
      </c>
      <c r="AO5" s="66">
        <v>102</v>
      </c>
      <c r="AP5" s="66">
        <v>105</v>
      </c>
      <c r="AQ5" s="67">
        <v>56</v>
      </c>
      <c r="AR5" s="67">
        <v>61</v>
      </c>
      <c r="AS5" s="67">
        <v>66</v>
      </c>
      <c r="AT5" s="67">
        <v>70</v>
      </c>
      <c r="AU5" s="67">
        <v>74</v>
      </c>
      <c r="AV5" s="67">
        <v>79</v>
      </c>
      <c r="AW5" s="67">
        <v>82</v>
      </c>
      <c r="AX5" s="67">
        <v>85</v>
      </c>
      <c r="AY5" s="67">
        <v>87</v>
      </c>
      <c r="AZ5" s="67">
        <v>90</v>
      </c>
      <c r="BA5" s="68">
        <v>48</v>
      </c>
      <c r="BB5" s="68">
        <v>51</v>
      </c>
      <c r="BC5" s="68">
        <v>57</v>
      </c>
      <c r="BD5" s="68">
        <v>60</v>
      </c>
      <c r="BE5" s="68">
        <v>63</v>
      </c>
      <c r="BF5" s="68">
        <v>67</v>
      </c>
      <c r="BG5" s="68">
        <v>70</v>
      </c>
      <c r="BH5" s="68">
        <v>72</v>
      </c>
      <c r="BI5" s="68">
        <v>74</v>
      </c>
      <c r="BJ5" s="68">
        <v>77</v>
      </c>
      <c r="BK5" s="69">
        <v>43</v>
      </c>
      <c r="BL5" s="69">
        <v>46</v>
      </c>
      <c r="BM5" s="69">
        <v>51</v>
      </c>
      <c r="BN5" s="69">
        <v>54</v>
      </c>
      <c r="BO5" s="69">
        <v>57</v>
      </c>
      <c r="BP5" s="69">
        <v>61</v>
      </c>
      <c r="BQ5" s="69">
        <v>63</v>
      </c>
      <c r="BR5" s="69">
        <v>65</v>
      </c>
      <c r="BS5" s="69">
        <v>67</v>
      </c>
      <c r="BT5" s="69">
        <v>69</v>
      </c>
      <c r="BU5" s="72">
        <v>38</v>
      </c>
      <c r="BV5" s="71">
        <v>41</v>
      </c>
      <c r="BW5" s="71">
        <v>45</v>
      </c>
      <c r="BX5" s="71">
        <v>48</v>
      </c>
      <c r="BY5" s="71">
        <v>51</v>
      </c>
      <c r="BZ5" s="71">
        <v>54</v>
      </c>
      <c r="CA5" s="71">
        <v>56</v>
      </c>
      <c r="CB5" s="71">
        <v>58</v>
      </c>
      <c r="CC5" s="71">
        <v>60</v>
      </c>
      <c r="CD5" s="71">
        <v>61</v>
      </c>
    </row>
    <row r="6" spans="1:82" x14ac:dyDescent="0.2">
      <c r="B6" s="174" t="s">
        <v>43</v>
      </c>
      <c r="C6" s="63">
        <v>93</v>
      </c>
      <c r="D6" s="63">
        <v>99</v>
      </c>
      <c r="E6" s="63">
        <v>108</v>
      </c>
      <c r="F6" s="63">
        <v>114</v>
      </c>
      <c r="G6" s="63">
        <v>119</v>
      </c>
      <c r="H6" s="63">
        <v>127</v>
      </c>
      <c r="I6" s="63">
        <v>131</v>
      </c>
      <c r="J6" s="63">
        <v>135</v>
      </c>
      <c r="K6" s="63">
        <v>139</v>
      </c>
      <c r="L6" s="63">
        <v>147</v>
      </c>
      <c r="M6" s="64">
        <v>88</v>
      </c>
      <c r="N6" s="64">
        <v>94</v>
      </c>
      <c r="O6" s="64">
        <v>102</v>
      </c>
      <c r="P6" s="64">
        <v>107</v>
      </c>
      <c r="Q6" s="64">
        <v>113</v>
      </c>
      <c r="R6" s="64">
        <v>119</v>
      </c>
      <c r="S6" s="64">
        <v>124</v>
      </c>
      <c r="T6" s="64">
        <v>127</v>
      </c>
      <c r="U6" s="64">
        <v>131</v>
      </c>
      <c r="V6" s="64">
        <v>139</v>
      </c>
      <c r="W6" s="65">
        <v>78</v>
      </c>
      <c r="X6" s="65">
        <v>83</v>
      </c>
      <c r="Y6" s="65">
        <v>91</v>
      </c>
      <c r="Z6" s="65">
        <v>95</v>
      </c>
      <c r="AA6" s="65">
        <v>100</v>
      </c>
      <c r="AB6" s="65">
        <v>106</v>
      </c>
      <c r="AC6" s="65">
        <v>110</v>
      </c>
      <c r="AD6" s="65">
        <v>113</v>
      </c>
      <c r="AE6" s="65">
        <v>116</v>
      </c>
      <c r="AF6" s="65">
        <v>123</v>
      </c>
      <c r="AG6" s="66">
        <v>71</v>
      </c>
      <c r="AH6" s="66">
        <v>76</v>
      </c>
      <c r="AI6" s="66">
        <v>82</v>
      </c>
      <c r="AJ6" s="66">
        <v>86</v>
      </c>
      <c r="AK6" s="66">
        <v>91</v>
      </c>
      <c r="AL6" s="66">
        <v>96</v>
      </c>
      <c r="AM6" s="66">
        <v>100</v>
      </c>
      <c r="AN6" s="66">
        <v>102</v>
      </c>
      <c r="AO6" s="66">
        <v>106</v>
      </c>
      <c r="AP6" s="66">
        <v>112</v>
      </c>
      <c r="AQ6" s="67">
        <v>62</v>
      </c>
      <c r="AR6" s="67">
        <v>67</v>
      </c>
      <c r="AS6" s="67">
        <v>73</v>
      </c>
      <c r="AT6" s="67">
        <v>76</v>
      </c>
      <c r="AU6" s="67">
        <v>80</v>
      </c>
      <c r="AV6" s="67">
        <v>85</v>
      </c>
      <c r="AW6" s="67">
        <v>88</v>
      </c>
      <c r="AX6" s="67">
        <v>91</v>
      </c>
      <c r="AY6" s="67">
        <v>94</v>
      </c>
      <c r="AZ6" s="67">
        <v>99</v>
      </c>
      <c r="BA6" s="68">
        <v>55</v>
      </c>
      <c r="BB6" s="68">
        <v>59</v>
      </c>
      <c r="BC6" s="68">
        <v>65</v>
      </c>
      <c r="BD6" s="68">
        <v>68</v>
      </c>
      <c r="BE6" s="68">
        <v>71</v>
      </c>
      <c r="BF6" s="68">
        <v>76</v>
      </c>
      <c r="BG6" s="68">
        <v>78</v>
      </c>
      <c r="BH6" s="68">
        <v>80</v>
      </c>
      <c r="BI6" s="68">
        <v>83</v>
      </c>
      <c r="BJ6" s="68">
        <v>88</v>
      </c>
      <c r="BK6" s="69">
        <v>48</v>
      </c>
      <c r="BL6" s="69">
        <v>52</v>
      </c>
      <c r="BM6" s="69">
        <v>56</v>
      </c>
      <c r="BN6" s="69">
        <v>59</v>
      </c>
      <c r="BO6" s="69">
        <v>62</v>
      </c>
      <c r="BP6" s="69">
        <v>66</v>
      </c>
      <c r="BQ6" s="69">
        <v>68</v>
      </c>
      <c r="BR6" s="69">
        <v>70</v>
      </c>
      <c r="BS6" s="69">
        <v>72</v>
      </c>
      <c r="BT6" s="69">
        <v>76</v>
      </c>
      <c r="BU6" s="71">
        <v>42</v>
      </c>
      <c r="BV6" s="71">
        <v>45</v>
      </c>
      <c r="BW6" s="71">
        <v>49</v>
      </c>
      <c r="BX6" s="71">
        <v>51</v>
      </c>
      <c r="BY6" s="71">
        <v>54</v>
      </c>
      <c r="BZ6" s="71">
        <v>57</v>
      </c>
      <c r="CA6" s="71">
        <v>59</v>
      </c>
      <c r="CB6" s="71">
        <v>61</v>
      </c>
      <c r="CC6" s="71">
        <v>62</v>
      </c>
      <c r="CD6" s="71">
        <v>66</v>
      </c>
    </row>
    <row r="7" spans="1:82" x14ac:dyDescent="0.2">
      <c r="B7" s="174" t="s">
        <v>26</v>
      </c>
      <c r="C7" s="59">
        <v>1000</v>
      </c>
      <c r="D7" s="59">
        <v>1000</v>
      </c>
      <c r="E7" s="59">
        <v>1000</v>
      </c>
      <c r="F7" s="59">
        <v>1000</v>
      </c>
      <c r="G7" s="59">
        <v>1000</v>
      </c>
      <c r="H7" s="59">
        <v>1000</v>
      </c>
      <c r="I7" s="59">
        <v>1000</v>
      </c>
      <c r="J7" s="59">
        <v>1000</v>
      </c>
      <c r="K7" s="59">
        <v>1000</v>
      </c>
      <c r="L7" s="59">
        <v>1000</v>
      </c>
      <c r="M7" s="59">
        <v>1000</v>
      </c>
      <c r="N7" s="59">
        <v>1000</v>
      </c>
      <c r="O7" s="59">
        <v>1000</v>
      </c>
      <c r="P7" s="59">
        <v>1000</v>
      </c>
      <c r="Q7" s="59">
        <v>1000</v>
      </c>
      <c r="R7" s="59">
        <v>1000</v>
      </c>
      <c r="S7" s="59">
        <v>1000</v>
      </c>
      <c r="T7" s="59">
        <v>1000</v>
      </c>
      <c r="U7" s="59">
        <v>1000</v>
      </c>
      <c r="V7" s="59">
        <v>1000</v>
      </c>
      <c r="W7" s="59">
        <v>1000</v>
      </c>
      <c r="X7" s="59">
        <v>1000</v>
      </c>
      <c r="Y7" s="59">
        <v>1000</v>
      </c>
      <c r="Z7" s="59">
        <v>1000</v>
      </c>
      <c r="AA7" s="59">
        <v>1000</v>
      </c>
      <c r="AB7" s="59">
        <v>1000</v>
      </c>
      <c r="AC7" s="59">
        <v>1000</v>
      </c>
      <c r="AD7" s="59">
        <v>1000</v>
      </c>
      <c r="AE7" s="59">
        <v>1000</v>
      </c>
      <c r="AF7" s="59">
        <v>1000</v>
      </c>
      <c r="AG7" s="59">
        <v>1000</v>
      </c>
      <c r="AH7" s="59">
        <v>1000</v>
      </c>
      <c r="AI7" s="59">
        <v>1000</v>
      </c>
      <c r="AJ7" s="59">
        <v>1000</v>
      </c>
      <c r="AK7" s="59">
        <v>1000</v>
      </c>
      <c r="AL7" s="59">
        <v>1000</v>
      </c>
      <c r="AM7" s="59">
        <v>1000</v>
      </c>
      <c r="AN7" s="59">
        <v>1000</v>
      </c>
      <c r="AO7" s="59">
        <v>1000</v>
      </c>
      <c r="AP7" s="59">
        <v>1000</v>
      </c>
      <c r="AQ7" s="59">
        <v>1000</v>
      </c>
      <c r="AR7" s="59">
        <v>1000</v>
      </c>
      <c r="AS7" s="59">
        <v>1000</v>
      </c>
      <c r="AT7" s="59">
        <v>1000</v>
      </c>
      <c r="AU7" s="59">
        <v>1000</v>
      </c>
      <c r="AV7" s="59">
        <v>1000</v>
      </c>
      <c r="AW7" s="59">
        <v>1000</v>
      </c>
      <c r="AX7" s="61">
        <v>1000</v>
      </c>
      <c r="AY7" s="59">
        <v>1000</v>
      </c>
      <c r="AZ7" s="61">
        <v>1000</v>
      </c>
      <c r="BA7" s="59">
        <v>1000</v>
      </c>
      <c r="BB7" s="59">
        <v>1000</v>
      </c>
      <c r="BC7" s="59">
        <v>1000</v>
      </c>
      <c r="BD7" s="59">
        <v>1000</v>
      </c>
      <c r="BE7" s="59">
        <v>1000</v>
      </c>
      <c r="BF7" s="59">
        <v>1000</v>
      </c>
      <c r="BG7" s="59">
        <v>1000</v>
      </c>
      <c r="BH7" s="59">
        <v>1000</v>
      </c>
      <c r="BI7" s="59">
        <v>1000</v>
      </c>
      <c r="BJ7" s="59">
        <v>1000</v>
      </c>
      <c r="BK7" s="59">
        <v>1000</v>
      </c>
      <c r="BL7" s="59">
        <v>1000</v>
      </c>
      <c r="BM7" s="59">
        <v>1000</v>
      </c>
      <c r="BN7" s="59">
        <v>1000</v>
      </c>
      <c r="BO7" s="59">
        <v>1000</v>
      </c>
      <c r="BP7" s="59">
        <v>1000</v>
      </c>
      <c r="BQ7" s="59">
        <v>1000</v>
      </c>
      <c r="BR7" s="59">
        <v>1000</v>
      </c>
      <c r="BS7" s="59">
        <v>1000</v>
      </c>
      <c r="BT7" s="59">
        <v>1000</v>
      </c>
      <c r="BU7" s="59">
        <v>1000</v>
      </c>
      <c r="BV7" s="59">
        <v>1000</v>
      </c>
      <c r="BW7" s="59">
        <v>1000</v>
      </c>
      <c r="BX7" s="59">
        <v>1000</v>
      </c>
      <c r="BY7" s="59">
        <v>1000</v>
      </c>
      <c r="BZ7" s="59">
        <v>1000</v>
      </c>
      <c r="CA7" s="59">
        <v>1000</v>
      </c>
      <c r="CB7" s="59">
        <v>1000</v>
      </c>
      <c r="CC7" s="59">
        <v>1000</v>
      </c>
      <c r="CD7" s="59">
        <v>1000</v>
      </c>
    </row>
    <row r="8" spans="1:82" x14ac:dyDescent="0.2">
      <c r="B8" s="174" t="s">
        <v>27</v>
      </c>
      <c r="C8" s="59">
        <v>1000</v>
      </c>
      <c r="D8" s="59">
        <v>1000</v>
      </c>
      <c r="E8" s="59">
        <v>1000</v>
      </c>
      <c r="F8" s="59">
        <v>1000</v>
      </c>
      <c r="G8" s="59">
        <v>1000</v>
      </c>
      <c r="H8" s="59">
        <v>1000</v>
      </c>
      <c r="I8" s="59">
        <v>1000</v>
      </c>
      <c r="J8" s="59">
        <v>1000</v>
      </c>
      <c r="K8" s="59">
        <v>1000</v>
      </c>
      <c r="L8" s="59">
        <v>1000</v>
      </c>
      <c r="M8" s="59">
        <v>1000</v>
      </c>
      <c r="N8" s="59">
        <v>1000</v>
      </c>
      <c r="O8" s="59">
        <v>1000</v>
      </c>
      <c r="P8" s="59">
        <v>1000</v>
      </c>
      <c r="Q8" s="59">
        <v>1000</v>
      </c>
      <c r="R8" s="59">
        <v>1000</v>
      </c>
      <c r="S8" s="59">
        <v>1000</v>
      </c>
      <c r="T8" s="59">
        <v>1000</v>
      </c>
      <c r="U8" s="59">
        <v>1000</v>
      </c>
      <c r="V8" s="59">
        <v>1000</v>
      </c>
      <c r="W8" s="59">
        <v>1000</v>
      </c>
      <c r="X8" s="59">
        <v>1000</v>
      </c>
      <c r="Y8" s="59">
        <v>1000</v>
      </c>
      <c r="Z8" s="59">
        <v>1000</v>
      </c>
      <c r="AA8" s="59">
        <v>1000</v>
      </c>
      <c r="AB8" s="59">
        <v>1000</v>
      </c>
      <c r="AC8" s="59">
        <v>1000</v>
      </c>
      <c r="AD8" s="59">
        <v>1000</v>
      </c>
      <c r="AE8" s="59">
        <v>1000</v>
      </c>
      <c r="AF8" s="59">
        <v>1000</v>
      </c>
      <c r="AG8" s="59">
        <v>1000</v>
      </c>
      <c r="AH8" s="59">
        <v>1000</v>
      </c>
      <c r="AI8" s="59">
        <v>1000</v>
      </c>
      <c r="AJ8" s="59">
        <v>1000</v>
      </c>
      <c r="AK8" s="59">
        <v>1000</v>
      </c>
      <c r="AL8" s="59">
        <v>1000</v>
      </c>
      <c r="AM8" s="59">
        <v>1000</v>
      </c>
      <c r="AN8" s="61">
        <v>1000</v>
      </c>
      <c r="AO8" s="59">
        <v>1000</v>
      </c>
      <c r="AP8" s="61">
        <v>1000</v>
      </c>
      <c r="AQ8" s="59">
        <v>1000</v>
      </c>
      <c r="AR8" s="59">
        <v>1000</v>
      </c>
      <c r="AS8" s="59">
        <v>1000</v>
      </c>
      <c r="AT8" s="59">
        <v>1000</v>
      </c>
      <c r="AU8" s="59">
        <v>1000</v>
      </c>
      <c r="AV8" s="59">
        <v>1000</v>
      </c>
      <c r="AW8" s="59">
        <v>1000</v>
      </c>
      <c r="AX8" s="61">
        <v>1000</v>
      </c>
      <c r="AY8" s="59">
        <v>1000</v>
      </c>
      <c r="AZ8" s="61">
        <v>1000</v>
      </c>
      <c r="BA8" s="59">
        <v>1000</v>
      </c>
      <c r="BB8" s="59">
        <v>1000</v>
      </c>
      <c r="BC8" s="59">
        <v>1000</v>
      </c>
      <c r="BD8" s="59">
        <v>1000</v>
      </c>
      <c r="BE8" s="59">
        <v>1000</v>
      </c>
      <c r="BF8" s="59">
        <v>1000</v>
      </c>
      <c r="BG8" s="59">
        <v>1000</v>
      </c>
      <c r="BH8" s="61">
        <v>1000</v>
      </c>
      <c r="BI8" s="59">
        <v>1000</v>
      </c>
      <c r="BJ8" s="61">
        <v>1000</v>
      </c>
      <c r="BK8" s="59">
        <v>1000</v>
      </c>
      <c r="BL8" s="59">
        <v>1000</v>
      </c>
      <c r="BM8" s="59">
        <v>1000</v>
      </c>
      <c r="BN8" s="59">
        <v>1000</v>
      </c>
      <c r="BO8" s="59">
        <v>1000</v>
      </c>
      <c r="BP8" s="59">
        <v>1000</v>
      </c>
      <c r="BQ8" s="59">
        <v>1000</v>
      </c>
      <c r="BR8" s="61">
        <v>1000</v>
      </c>
      <c r="BS8" s="59">
        <v>1000</v>
      </c>
      <c r="BT8" s="61">
        <v>1000</v>
      </c>
      <c r="BU8" s="59">
        <v>1000</v>
      </c>
      <c r="BV8" s="59">
        <v>1000</v>
      </c>
      <c r="BW8" s="59">
        <v>1000</v>
      </c>
      <c r="BX8" s="59">
        <v>1000</v>
      </c>
      <c r="BY8" s="59">
        <v>1000</v>
      </c>
      <c r="BZ8" s="59">
        <v>1000</v>
      </c>
      <c r="CA8" s="59">
        <v>1000</v>
      </c>
      <c r="CB8" s="59">
        <v>1000</v>
      </c>
      <c r="CC8" s="59">
        <v>1000</v>
      </c>
      <c r="CD8" s="59">
        <v>1000</v>
      </c>
    </row>
    <row r="9" spans="1:82" x14ac:dyDescent="0.2">
      <c r="B9" s="174" t="s">
        <v>28</v>
      </c>
      <c r="C9" s="59">
        <v>1000</v>
      </c>
      <c r="D9" s="59">
        <v>1000</v>
      </c>
      <c r="E9" s="59">
        <v>1000</v>
      </c>
      <c r="F9" s="59">
        <v>1000</v>
      </c>
      <c r="G9" s="59">
        <v>1000</v>
      </c>
      <c r="H9" s="59">
        <v>1000</v>
      </c>
      <c r="I9" s="59">
        <v>1000</v>
      </c>
      <c r="J9" s="59">
        <v>1000</v>
      </c>
      <c r="K9" s="59">
        <v>1000</v>
      </c>
      <c r="L9" s="59">
        <v>1000</v>
      </c>
      <c r="M9" s="59">
        <v>1000</v>
      </c>
      <c r="N9" s="59">
        <v>1000</v>
      </c>
      <c r="O9" s="59">
        <v>1000</v>
      </c>
      <c r="P9" s="59">
        <v>1000</v>
      </c>
      <c r="Q9" s="59">
        <v>1000</v>
      </c>
      <c r="R9" s="59">
        <v>1000</v>
      </c>
      <c r="S9" s="59">
        <v>1000</v>
      </c>
      <c r="T9" s="59">
        <v>1000</v>
      </c>
      <c r="U9" s="59">
        <v>1000</v>
      </c>
      <c r="V9" s="59">
        <v>1000</v>
      </c>
      <c r="W9" s="59">
        <v>1000</v>
      </c>
      <c r="X9" s="59">
        <v>1000</v>
      </c>
      <c r="Y9" s="59">
        <v>1000</v>
      </c>
      <c r="Z9" s="59">
        <v>1000</v>
      </c>
      <c r="AA9" s="59">
        <v>1000</v>
      </c>
      <c r="AB9" s="59">
        <v>1000</v>
      </c>
      <c r="AC9" s="59">
        <v>1000</v>
      </c>
      <c r="AD9" s="59">
        <v>1000</v>
      </c>
      <c r="AE9" s="59">
        <v>1000</v>
      </c>
      <c r="AF9" s="59">
        <v>1000</v>
      </c>
      <c r="AG9" s="59">
        <v>1000</v>
      </c>
      <c r="AH9" s="59">
        <v>1000</v>
      </c>
      <c r="AI9" s="59">
        <v>1000</v>
      </c>
      <c r="AJ9" s="59">
        <v>1000</v>
      </c>
      <c r="AK9" s="59">
        <v>1000</v>
      </c>
      <c r="AL9" s="59">
        <v>1000</v>
      </c>
      <c r="AM9" s="59">
        <v>1000</v>
      </c>
      <c r="AN9" s="61">
        <v>1000</v>
      </c>
      <c r="AO9" s="59">
        <v>1000</v>
      </c>
      <c r="AP9" s="61">
        <v>1000</v>
      </c>
      <c r="AQ9" s="59">
        <v>1000</v>
      </c>
      <c r="AR9" s="59">
        <v>1000</v>
      </c>
      <c r="AS9" s="59">
        <v>1000</v>
      </c>
      <c r="AT9" s="59">
        <v>1000</v>
      </c>
      <c r="AU9" s="59">
        <v>1000</v>
      </c>
      <c r="AV9" s="59">
        <v>1000</v>
      </c>
      <c r="AW9" s="59">
        <v>1000</v>
      </c>
      <c r="AX9" s="61">
        <v>1000</v>
      </c>
      <c r="AY9" s="59">
        <v>1000</v>
      </c>
      <c r="AZ9" s="61">
        <v>1000</v>
      </c>
      <c r="BA9" s="59">
        <v>1000</v>
      </c>
      <c r="BB9" s="59">
        <v>1000</v>
      </c>
      <c r="BC9" s="59">
        <v>1000</v>
      </c>
      <c r="BD9" s="59">
        <v>1000</v>
      </c>
      <c r="BE9" s="59">
        <v>1000</v>
      </c>
      <c r="BF9" s="59">
        <v>1000</v>
      </c>
      <c r="BG9" s="59">
        <v>1000</v>
      </c>
      <c r="BH9" s="61">
        <v>1000</v>
      </c>
      <c r="BI9" s="59">
        <v>1000</v>
      </c>
      <c r="BJ9" s="61">
        <v>1000</v>
      </c>
      <c r="BK9" s="59">
        <v>1000</v>
      </c>
      <c r="BL9" s="59">
        <v>1000</v>
      </c>
      <c r="BM9" s="59">
        <v>1000</v>
      </c>
      <c r="BN9" s="59">
        <v>1000</v>
      </c>
      <c r="BO9" s="59">
        <v>1000</v>
      </c>
      <c r="BP9" s="59">
        <v>1000</v>
      </c>
      <c r="BQ9" s="59">
        <v>1000</v>
      </c>
      <c r="BR9" s="61">
        <v>1000</v>
      </c>
      <c r="BS9" s="59">
        <v>1000</v>
      </c>
      <c r="BT9" s="61">
        <v>1000</v>
      </c>
      <c r="BU9" s="59">
        <v>1000</v>
      </c>
      <c r="BV9" s="59">
        <v>1000</v>
      </c>
      <c r="BW9" s="59">
        <v>1000</v>
      </c>
      <c r="BX9" s="59">
        <v>1000</v>
      </c>
      <c r="BY9" s="59">
        <v>1000</v>
      </c>
      <c r="BZ9" s="59">
        <v>1000</v>
      </c>
      <c r="CA9" s="59">
        <v>1000</v>
      </c>
      <c r="CB9" s="59">
        <v>1000</v>
      </c>
      <c r="CC9" s="59">
        <v>1000</v>
      </c>
      <c r="CD9" s="59">
        <v>1000</v>
      </c>
    </row>
    <row r="10" spans="1:82" x14ac:dyDescent="0.2">
      <c r="AL10" s="61"/>
      <c r="AV10" s="61"/>
      <c r="BF10" s="61"/>
      <c r="BP10" s="61"/>
    </row>
    <row r="11" spans="1:82" x14ac:dyDescent="0.2">
      <c r="A11" s="42"/>
      <c r="B11" s="42"/>
      <c r="C11" s="73"/>
      <c r="D11" s="73"/>
      <c r="E11" s="73"/>
      <c r="F11" s="168"/>
      <c r="G11" s="171" t="s">
        <v>51</v>
      </c>
      <c r="H11" s="171" t="s">
        <v>52</v>
      </c>
      <c r="I11" s="171" t="s">
        <v>53</v>
      </c>
      <c r="J11" s="171" t="s">
        <v>54</v>
      </c>
      <c r="K11" s="171" t="s">
        <v>55</v>
      </c>
      <c r="L11" s="171" t="s">
        <v>56</v>
      </c>
      <c r="M11" s="171" t="s">
        <v>57</v>
      </c>
      <c r="N11" s="171" t="s">
        <v>155</v>
      </c>
    </row>
    <row r="12" spans="1:82" x14ac:dyDescent="0.2">
      <c r="A12" s="42"/>
      <c r="B12" s="42"/>
      <c r="C12" s="73"/>
      <c r="D12" s="73"/>
      <c r="E12" s="73"/>
      <c r="F12" s="172">
        <v>20.010000000000002</v>
      </c>
      <c r="G12" s="169" t="s">
        <v>75</v>
      </c>
      <c r="H12" s="169" t="s">
        <v>85</v>
      </c>
      <c r="I12" s="169" t="s">
        <v>95</v>
      </c>
      <c r="J12" s="169" t="s">
        <v>105</v>
      </c>
      <c r="K12" s="169" t="s">
        <v>115</v>
      </c>
      <c r="L12" s="169" t="s">
        <v>125</v>
      </c>
      <c r="M12" s="169" t="s">
        <v>135</v>
      </c>
      <c r="N12" s="169" t="s">
        <v>145</v>
      </c>
    </row>
    <row r="13" spans="1:82" ht="21" x14ac:dyDescent="0.35">
      <c r="A13" s="43"/>
      <c r="B13" s="43"/>
      <c r="C13" s="73"/>
      <c r="D13" s="73"/>
      <c r="E13" s="73"/>
      <c r="F13" s="172">
        <v>45.01</v>
      </c>
      <c r="G13" s="169" t="s">
        <v>76</v>
      </c>
      <c r="H13" s="169" t="s">
        <v>86</v>
      </c>
      <c r="I13" s="169" t="s">
        <v>96</v>
      </c>
      <c r="J13" s="169" t="s">
        <v>106</v>
      </c>
      <c r="K13" s="169" t="s">
        <v>116</v>
      </c>
      <c r="L13" s="169" t="s">
        <v>126</v>
      </c>
      <c r="M13" s="169" t="s">
        <v>136</v>
      </c>
      <c r="N13" s="169" t="s">
        <v>146</v>
      </c>
    </row>
    <row r="14" spans="1:82" ht="21" x14ac:dyDescent="0.35">
      <c r="A14" s="43"/>
      <c r="B14" s="43"/>
      <c r="C14" s="73"/>
      <c r="D14" s="73"/>
      <c r="E14" s="73"/>
      <c r="F14" s="171">
        <v>49.01</v>
      </c>
      <c r="G14" s="169" t="s">
        <v>77</v>
      </c>
      <c r="H14" s="169" t="s">
        <v>87</v>
      </c>
      <c r="I14" s="169" t="s">
        <v>97</v>
      </c>
      <c r="J14" s="169" t="s">
        <v>107</v>
      </c>
      <c r="K14" s="169" t="s">
        <v>117</v>
      </c>
      <c r="L14" s="169" t="s">
        <v>127</v>
      </c>
      <c r="M14" s="169" t="s">
        <v>137</v>
      </c>
      <c r="N14" s="169" t="s">
        <v>147</v>
      </c>
    </row>
    <row r="15" spans="1:82" ht="21" x14ac:dyDescent="0.35">
      <c r="A15" s="43"/>
      <c r="B15" s="43"/>
      <c r="C15" s="73"/>
      <c r="D15" s="73"/>
      <c r="E15" s="73"/>
      <c r="F15" s="173">
        <v>55.01</v>
      </c>
      <c r="G15" s="169" t="s">
        <v>78</v>
      </c>
      <c r="H15" s="169" t="s">
        <v>88</v>
      </c>
      <c r="I15" s="169" t="s">
        <v>98</v>
      </c>
      <c r="J15" s="169" t="s">
        <v>108</v>
      </c>
      <c r="K15" s="169" t="s">
        <v>118</v>
      </c>
      <c r="L15" s="169" t="s">
        <v>128</v>
      </c>
      <c r="M15" s="169" t="s">
        <v>138</v>
      </c>
      <c r="N15" s="169" t="s">
        <v>148</v>
      </c>
    </row>
    <row r="16" spans="1:82" ht="21" x14ac:dyDescent="0.35">
      <c r="A16" s="43"/>
      <c r="B16" s="43"/>
      <c r="C16" s="73"/>
      <c r="D16" s="73"/>
      <c r="E16" s="73"/>
      <c r="F16" s="173">
        <v>59.01</v>
      </c>
      <c r="G16" s="169" t="s">
        <v>79</v>
      </c>
      <c r="H16" s="169" t="s">
        <v>89</v>
      </c>
      <c r="I16" s="169" t="s">
        <v>99</v>
      </c>
      <c r="J16" s="169" t="s">
        <v>109</v>
      </c>
      <c r="K16" s="169" t="s">
        <v>119</v>
      </c>
      <c r="L16" s="169" t="s">
        <v>129</v>
      </c>
      <c r="M16" s="169" t="s">
        <v>139</v>
      </c>
      <c r="N16" s="169" t="s">
        <v>149</v>
      </c>
    </row>
    <row r="17" spans="1:14" ht="21" x14ac:dyDescent="0.35">
      <c r="A17" s="43"/>
      <c r="B17" s="43"/>
      <c r="C17" s="73"/>
      <c r="D17" s="73"/>
      <c r="E17" s="73"/>
      <c r="F17" s="173">
        <v>64.010000000000005</v>
      </c>
      <c r="G17" s="169" t="s">
        <v>80</v>
      </c>
      <c r="H17" s="169" t="s">
        <v>90</v>
      </c>
      <c r="I17" s="169" t="s">
        <v>100</v>
      </c>
      <c r="J17" s="169" t="s">
        <v>110</v>
      </c>
      <c r="K17" s="169" t="s">
        <v>120</v>
      </c>
      <c r="L17" s="169" t="s">
        <v>130</v>
      </c>
      <c r="M17" s="169" t="s">
        <v>140</v>
      </c>
      <c r="N17" s="169" t="s">
        <v>150</v>
      </c>
    </row>
    <row r="18" spans="1:14" ht="21" x14ac:dyDescent="0.35">
      <c r="A18" s="43"/>
      <c r="B18" s="43"/>
      <c r="C18" s="73"/>
      <c r="D18" s="73"/>
      <c r="E18" s="73"/>
      <c r="F18" s="173">
        <v>71.010000000000005</v>
      </c>
      <c r="G18" s="170" t="s">
        <v>81</v>
      </c>
      <c r="H18" s="170" t="s">
        <v>91</v>
      </c>
      <c r="I18" s="170" t="s">
        <v>101</v>
      </c>
      <c r="J18" s="170" t="s">
        <v>111</v>
      </c>
      <c r="K18" s="170" t="s">
        <v>121</v>
      </c>
      <c r="L18" s="170" t="s">
        <v>131</v>
      </c>
      <c r="M18" s="170" t="s">
        <v>141</v>
      </c>
      <c r="N18" s="170" t="s">
        <v>151</v>
      </c>
    </row>
    <row r="19" spans="1:14" ht="21" x14ac:dyDescent="0.35">
      <c r="A19" s="43"/>
      <c r="B19" s="43"/>
      <c r="C19" s="73"/>
      <c r="D19" s="73"/>
      <c r="E19" s="73"/>
      <c r="F19" s="173">
        <v>76.010000000000005</v>
      </c>
      <c r="G19" s="170" t="s">
        <v>82</v>
      </c>
      <c r="H19" s="170" t="s">
        <v>92</v>
      </c>
      <c r="I19" s="170" t="s">
        <v>102</v>
      </c>
      <c r="J19" s="170" t="s">
        <v>112</v>
      </c>
      <c r="K19" s="170" t="s">
        <v>122</v>
      </c>
      <c r="L19" s="170" t="s">
        <v>132</v>
      </c>
      <c r="M19" s="170" t="s">
        <v>142</v>
      </c>
      <c r="N19" s="170" t="s">
        <v>152</v>
      </c>
    </row>
    <row r="20" spans="1:14" ht="21" x14ac:dyDescent="0.35">
      <c r="A20" s="43"/>
      <c r="B20" s="43"/>
      <c r="C20" s="73"/>
      <c r="D20" s="73"/>
      <c r="E20" s="73"/>
      <c r="F20" s="173">
        <v>81.010000000000005</v>
      </c>
      <c r="G20" s="170" t="s">
        <v>83</v>
      </c>
      <c r="H20" s="170" t="s">
        <v>93</v>
      </c>
      <c r="I20" s="170" t="s">
        <v>103</v>
      </c>
      <c r="J20" s="170" t="s">
        <v>113</v>
      </c>
      <c r="K20" s="170" t="s">
        <v>123</v>
      </c>
      <c r="L20" s="170" t="s">
        <v>133</v>
      </c>
      <c r="M20" s="170" t="s">
        <v>143</v>
      </c>
      <c r="N20" s="170" t="s">
        <v>153</v>
      </c>
    </row>
    <row r="21" spans="1:14" ht="21" x14ac:dyDescent="0.35">
      <c r="A21" s="43"/>
      <c r="B21" s="43"/>
      <c r="C21" s="73"/>
      <c r="D21" s="73"/>
      <c r="E21" s="73"/>
      <c r="F21" s="173">
        <v>87.01</v>
      </c>
      <c r="G21" s="170" t="s">
        <v>84</v>
      </c>
      <c r="H21" s="170" t="s">
        <v>94</v>
      </c>
      <c r="I21" s="170" t="s">
        <v>104</v>
      </c>
      <c r="J21" s="170" t="s">
        <v>114</v>
      </c>
      <c r="K21" s="170" t="s">
        <v>124</v>
      </c>
      <c r="L21" s="170" t="s">
        <v>134</v>
      </c>
      <c r="M21" s="170" t="s">
        <v>144</v>
      </c>
      <c r="N21" s="170" t="s">
        <v>154</v>
      </c>
    </row>
    <row r="22" spans="1:14" ht="21" x14ac:dyDescent="0.35">
      <c r="A22" s="43"/>
      <c r="B22" s="4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spans="1:14" ht="21" x14ac:dyDescent="0.35">
      <c r="A23" s="43"/>
      <c r="B23" s="4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spans="1:14" ht="21" x14ac:dyDescent="0.35">
      <c r="A24" s="43"/>
      <c r="B24" s="4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spans="1:14" ht="21" x14ac:dyDescent="0.35">
      <c r="A25" s="43"/>
      <c r="B25" s="4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spans="1:14" ht="21" x14ac:dyDescent="0.35">
      <c r="A26" s="43"/>
      <c r="B26" s="43"/>
      <c r="C26" s="73"/>
      <c r="D26" s="73"/>
      <c r="E26" s="73"/>
    </row>
    <row r="27" spans="1:14" ht="21" x14ac:dyDescent="0.35">
      <c r="A27" s="43"/>
      <c r="B27" s="43"/>
      <c r="C27" s="73"/>
      <c r="D27" s="73"/>
      <c r="E27" s="73"/>
    </row>
    <row r="28" spans="1:14" ht="21" x14ac:dyDescent="0.35">
      <c r="A28" s="43"/>
      <c r="B28" s="43"/>
      <c r="C28" s="73"/>
      <c r="D28" s="73"/>
      <c r="E28" s="73"/>
    </row>
    <row r="29" spans="1:14" ht="21" x14ac:dyDescent="0.35">
      <c r="A29" s="43"/>
      <c r="B29" s="43"/>
      <c r="C29" s="73"/>
      <c r="D29" s="73"/>
      <c r="E29" s="73"/>
    </row>
    <row r="30" spans="1:14" ht="21" x14ac:dyDescent="0.35">
      <c r="A30" s="43"/>
      <c r="B30" s="43"/>
      <c r="C30" s="73"/>
      <c r="D30" s="73"/>
    </row>
    <row r="31" spans="1:14" ht="21" x14ac:dyDescent="0.35">
      <c r="A31" s="43"/>
      <c r="B31" s="43"/>
      <c r="C31" s="73"/>
      <c r="D31" s="73"/>
    </row>
    <row r="32" spans="1:14" ht="21" x14ac:dyDescent="0.35">
      <c r="A32" s="43"/>
      <c r="B32" s="43"/>
      <c r="C32" s="73"/>
      <c r="D32" s="73"/>
    </row>
    <row r="33" spans="1:4" ht="21" x14ac:dyDescent="0.35">
      <c r="A33" s="43"/>
      <c r="B33" s="43"/>
      <c r="C33" s="73"/>
      <c r="D33" s="73"/>
    </row>
    <row r="34" spans="1:4" ht="21" x14ac:dyDescent="0.35">
      <c r="A34" s="43"/>
      <c r="B34" s="43"/>
      <c r="C34" s="73"/>
      <c r="D34" s="73"/>
    </row>
    <row r="35" spans="1:4" ht="21" x14ac:dyDescent="0.35">
      <c r="A35" s="43"/>
      <c r="B35" s="43"/>
      <c r="C35" s="73"/>
      <c r="D35" s="73"/>
    </row>
    <row r="36" spans="1:4" ht="21" x14ac:dyDescent="0.35">
      <c r="A36" s="43"/>
      <c r="B36" s="43"/>
      <c r="C36" s="73"/>
      <c r="D36" s="73"/>
    </row>
    <row r="37" spans="1:4" ht="21" x14ac:dyDescent="0.35">
      <c r="A37" s="43"/>
      <c r="B37" s="43"/>
      <c r="C37" s="73"/>
      <c r="D37" s="73"/>
    </row>
    <row r="38" spans="1:4" ht="21" x14ac:dyDescent="0.35">
      <c r="A38" s="43"/>
      <c r="B38" s="43"/>
      <c r="C38" s="73"/>
      <c r="D38" s="73"/>
    </row>
    <row r="39" spans="1:4" ht="21" x14ac:dyDescent="0.35">
      <c r="A39" s="43"/>
      <c r="B39" s="43"/>
      <c r="C39" s="73"/>
      <c r="D39" s="73"/>
    </row>
    <row r="40" spans="1:4" ht="21" x14ac:dyDescent="0.35">
      <c r="A40" s="43"/>
      <c r="B40" s="43"/>
      <c r="C40" s="73"/>
      <c r="D40" s="73"/>
    </row>
    <row r="41" spans="1:4" ht="21" x14ac:dyDescent="0.35">
      <c r="A41" s="43"/>
      <c r="B41" s="43"/>
      <c r="C41" s="73"/>
      <c r="D41" s="73"/>
    </row>
    <row r="42" spans="1:4" ht="21" x14ac:dyDescent="0.35">
      <c r="A42" s="43"/>
      <c r="B42" s="43"/>
      <c r="C42" s="73"/>
      <c r="D42" s="73"/>
    </row>
    <row r="43" spans="1:4" ht="21" x14ac:dyDescent="0.35">
      <c r="A43" s="43"/>
      <c r="B43" s="43"/>
      <c r="C43" s="73"/>
      <c r="D43" s="73"/>
    </row>
    <row r="44" spans="1:4" ht="21" x14ac:dyDescent="0.35">
      <c r="A44" s="43"/>
      <c r="B44" s="43"/>
      <c r="C44" s="73"/>
      <c r="D44" s="73"/>
    </row>
    <row r="45" spans="1:4" ht="21" x14ac:dyDescent="0.35">
      <c r="A45" s="43"/>
      <c r="B45" s="43"/>
      <c r="C45" s="73"/>
      <c r="D45" s="73"/>
    </row>
    <row r="46" spans="1:4" ht="21" x14ac:dyDescent="0.35">
      <c r="A46" s="43"/>
      <c r="B46" s="43"/>
      <c r="C46" s="73"/>
      <c r="D46" s="73"/>
    </row>
    <row r="47" spans="1:4" ht="21" x14ac:dyDescent="0.35">
      <c r="A47" s="43"/>
      <c r="B47" s="43"/>
      <c r="C47" s="73"/>
      <c r="D47" s="73"/>
    </row>
    <row r="48" spans="1:4" ht="21" x14ac:dyDescent="0.35">
      <c r="A48" s="43"/>
      <c r="B48" s="43"/>
      <c r="C48" s="73"/>
      <c r="D48" s="73"/>
    </row>
    <row r="49" spans="1:4" ht="21" x14ac:dyDescent="0.35">
      <c r="A49" s="43"/>
      <c r="B49" s="43"/>
      <c r="C49" s="73"/>
      <c r="D49" s="73"/>
    </row>
    <row r="50" spans="1:4" ht="21" x14ac:dyDescent="0.35">
      <c r="A50" s="43"/>
      <c r="B50" s="43"/>
      <c r="C50" s="73"/>
      <c r="D50" s="73"/>
    </row>
    <row r="51" spans="1:4" ht="21" x14ac:dyDescent="0.35">
      <c r="A51" s="43"/>
      <c r="B51" s="43"/>
      <c r="C51" s="73"/>
      <c r="D51" s="73"/>
    </row>
    <row r="52" spans="1:4" ht="21" x14ac:dyDescent="0.35">
      <c r="A52" s="43"/>
      <c r="B52" s="43"/>
      <c r="C52" s="73"/>
      <c r="D52" s="73"/>
    </row>
    <row r="53" spans="1:4" ht="21" x14ac:dyDescent="0.35">
      <c r="A53" s="43"/>
      <c r="B53" s="43"/>
      <c r="C53" s="73"/>
      <c r="D53" s="73"/>
    </row>
    <row r="54" spans="1:4" ht="21" x14ac:dyDescent="0.35">
      <c r="A54" s="43"/>
      <c r="B54" s="43"/>
      <c r="C54" s="73"/>
      <c r="D54" s="73"/>
    </row>
    <row r="55" spans="1:4" ht="21" x14ac:dyDescent="0.35">
      <c r="A55" s="43"/>
      <c r="B55" s="43"/>
      <c r="C55" s="73"/>
      <c r="D55" s="73"/>
    </row>
    <row r="56" spans="1:4" ht="21" x14ac:dyDescent="0.35">
      <c r="A56" s="43"/>
      <c r="B56" s="43"/>
      <c r="C56" s="73"/>
      <c r="D56" s="73"/>
    </row>
    <row r="57" spans="1:4" ht="21" x14ac:dyDescent="0.35">
      <c r="A57" s="43"/>
      <c r="B57" s="43"/>
      <c r="C57" s="73"/>
      <c r="D57" s="73"/>
    </row>
    <row r="58" spans="1:4" ht="21" x14ac:dyDescent="0.35">
      <c r="A58" s="43"/>
      <c r="B58" s="43"/>
      <c r="C58" s="73"/>
      <c r="D58" s="73"/>
    </row>
    <row r="59" spans="1:4" ht="21" x14ac:dyDescent="0.35">
      <c r="A59" s="43"/>
      <c r="B59" s="43"/>
      <c r="C59" s="73"/>
      <c r="D59" s="73"/>
    </row>
    <row r="60" spans="1:4" ht="21" x14ac:dyDescent="0.35">
      <c r="A60" s="43"/>
      <c r="B60" s="43"/>
      <c r="C60" s="73"/>
      <c r="D60" s="73"/>
    </row>
    <row r="61" spans="1:4" ht="21" x14ac:dyDescent="0.35">
      <c r="A61" s="43"/>
      <c r="B61" s="43"/>
      <c r="C61" s="73"/>
      <c r="D61" s="73"/>
    </row>
    <row r="62" spans="1:4" ht="21" x14ac:dyDescent="0.35">
      <c r="A62" s="43"/>
      <c r="B62" s="43"/>
      <c r="C62" s="73"/>
      <c r="D62" s="73"/>
    </row>
    <row r="63" spans="1:4" ht="21" x14ac:dyDescent="0.35">
      <c r="A63" s="43"/>
      <c r="B63" s="43"/>
      <c r="C63" s="73"/>
      <c r="D63" s="73"/>
    </row>
    <row r="64" spans="1:4" ht="21" x14ac:dyDescent="0.35">
      <c r="A64" s="43"/>
      <c r="B64" s="43"/>
      <c r="C64" s="73"/>
      <c r="D64" s="73"/>
    </row>
    <row r="65" spans="1:4" ht="21" x14ac:dyDescent="0.35">
      <c r="A65" s="43"/>
      <c r="B65" s="43"/>
      <c r="C65" s="73"/>
      <c r="D65" s="73"/>
    </row>
    <row r="66" spans="1:4" ht="21" x14ac:dyDescent="0.35">
      <c r="A66" s="43"/>
      <c r="B66" s="43"/>
      <c r="C66" s="73"/>
      <c r="D66" s="73"/>
    </row>
    <row r="67" spans="1:4" ht="21" x14ac:dyDescent="0.35">
      <c r="A67" s="43"/>
      <c r="B67" s="43"/>
      <c r="C67" s="73"/>
      <c r="D67" s="73"/>
    </row>
    <row r="68" spans="1:4" ht="21" x14ac:dyDescent="0.35">
      <c r="A68" s="43"/>
      <c r="B68" s="43"/>
      <c r="C68" s="73"/>
      <c r="D68" s="73"/>
    </row>
    <row r="69" spans="1:4" x14ac:dyDescent="0.2">
      <c r="C69" s="73"/>
      <c r="D69" s="73"/>
    </row>
    <row r="70" spans="1:4" x14ac:dyDescent="0.2">
      <c r="C70" s="73"/>
      <c r="D70" s="73"/>
    </row>
    <row r="71" spans="1:4" x14ac:dyDescent="0.2">
      <c r="C71" s="73"/>
      <c r="D71" s="73"/>
    </row>
    <row r="72" spans="1:4" x14ac:dyDescent="0.2">
      <c r="C72" s="73"/>
      <c r="D72" s="73"/>
    </row>
    <row r="73" spans="1:4" x14ac:dyDescent="0.2">
      <c r="C73" s="73"/>
      <c r="D73" s="73"/>
    </row>
    <row r="74" spans="1:4" x14ac:dyDescent="0.2">
      <c r="C74" s="73"/>
      <c r="D74" s="73"/>
    </row>
    <row r="75" spans="1:4" x14ac:dyDescent="0.2">
      <c r="C75" s="73"/>
      <c r="D75" s="73"/>
    </row>
    <row r="76" spans="1:4" x14ac:dyDescent="0.2">
      <c r="C76" s="73"/>
      <c r="D76" s="73"/>
    </row>
    <row r="77" spans="1:4" x14ac:dyDescent="0.2">
      <c r="C77" s="73"/>
      <c r="D77" s="73"/>
    </row>
    <row r="78" spans="1:4" x14ac:dyDescent="0.2">
      <c r="C78" s="73"/>
      <c r="D78" s="73"/>
    </row>
    <row r="79" spans="1:4" x14ac:dyDescent="0.2">
      <c r="C79" s="73"/>
      <c r="D79" s="73"/>
    </row>
    <row r="80" spans="1:4" x14ac:dyDescent="0.2">
      <c r="C80" s="73"/>
      <c r="D80" s="73"/>
    </row>
    <row r="81" spans="3:4" x14ac:dyDescent="0.2">
      <c r="C81" s="73"/>
      <c r="D81" s="73"/>
    </row>
    <row r="82" spans="3:4" x14ac:dyDescent="0.2">
      <c r="C82" s="73"/>
      <c r="D82" s="73"/>
    </row>
    <row r="83" spans="3:4" x14ac:dyDescent="0.2">
      <c r="C83" s="73"/>
      <c r="D83" s="73"/>
    </row>
    <row r="84" spans="3:4" x14ac:dyDescent="0.2">
      <c r="C84" s="73"/>
      <c r="D84" s="73"/>
    </row>
    <row r="85" spans="3:4" x14ac:dyDescent="0.2">
      <c r="C85" s="73"/>
      <c r="D85" s="73"/>
    </row>
    <row r="86" spans="3:4" x14ac:dyDescent="0.2">
      <c r="C86" s="73"/>
      <c r="D86" s="73"/>
    </row>
    <row r="87" spans="3:4" x14ac:dyDescent="0.2">
      <c r="C87" s="73"/>
      <c r="D87" s="73"/>
    </row>
    <row r="88" spans="3:4" x14ac:dyDescent="0.2">
      <c r="C88" s="73"/>
      <c r="D88" s="73"/>
    </row>
    <row r="89" spans="3:4" x14ac:dyDescent="0.2">
      <c r="C89" s="73"/>
      <c r="D89" s="73"/>
    </row>
    <row r="90" spans="3:4" x14ac:dyDescent="0.2">
      <c r="C90" s="73"/>
      <c r="D90" s="73"/>
    </row>
    <row r="91" spans="3:4" x14ac:dyDescent="0.2">
      <c r="C91" s="73"/>
      <c r="D91" s="73"/>
    </row>
    <row r="92" spans="3:4" x14ac:dyDescent="0.2">
      <c r="C92" s="73"/>
      <c r="D92" s="73"/>
    </row>
    <row r="93" spans="3:4" x14ac:dyDescent="0.2">
      <c r="C93" s="73"/>
      <c r="D93" s="73"/>
    </row>
    <row r="94" spans="3:4" x14ac:dyDescent="0.2">
      <c r="C94" s="73"/>
      <c r="D94" s="73"/>
    </row>
    <row r="95" spans="3:4" x14ac:dyDescent="0.2">
      <c r="C95" s="73"/>
      <c r="D95" s="73"/>
    </row>
    <row r="96" spans="3:4" x14ac:dyDescent="0.2">
      <c r="C96" s="73"/>
      <c r="D96" s="73"/>
    </row>
    <row r="97" spans="3:4" x14ac:dyDescent="0.2">
      <c r="C97" s="73"/>
      <c r="D97" s="73"/>
    </row>
    <row r="98" spans="3:4" x14ac:dyDescent="0.2">
      <c r="C98" s="73"/>
      <c r="D98" s="73"/>
    </row>
    <row r="99" spans="3:4" x14ac:dyDescent="0.2">
      <c r="C99" s="73"/>
      <c r="D99" s="73"/>
    </row>
    <row r="100" spans="3:4" x14ac:dyDescent="0.2">
      <c r="C100" s="73"/>
      <c r="D100" s="73"/>
    </row>
    <row r="101" spans="3:4" x14ac:dyDescent="0.2">
      <c r="C101" s="73"/>
      <c r="D101" s="73"/>
    </row>
    <row r="102" spans="3:4" x14ac:dyDescent="0.2">
      <c r="C102" s="73"/>
      <c r="D102" s="73"/>
    </row>
    <row r="103" spans="3:4" x14ac:dyDescent="0.2">
      <c r="C103" s="73"/>
      <c r="D103" s="73"/>
    </row>
    <row r="104" spans="3:4" x14ac:dyDescent="0.2">
      <c r="C104" s="73"/>
      <c r="D104" s="73"/>
    </row>
    <row r="105" spans="3:4" x14ac:dyDescent="0.2">
      <c r="C105" s="73"/>
      <c r="D105" s="7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CY91"/>
  <sheetViews>
    <sheetView zoomScale="90" zoomScaleNormal="90" workbookViewId="0"/>
  </sheetViews>
  <sheetFormatPr baseColWidth="10" defaultColWidth="11.42578125" defaultRowHeight="12.75" x14ac:dyDescent="0.2"/>
  <cols>
    <col min="2" max="2" width="17.28515625" bestFit="1" customWidth="1"/>
  </cols>
  <sheetData>
    <row r="1" spans="1:103" s="181" customFormat="1" x14ac:dyDescent="0.2">
      <c r="C1" s="182" t="s">
        <v>157</v>
      </c>
      <c r="D1" s="182" t="s">
        <v>158</v>
      </c>
      <c r="E1" s="182" t="s">
        <v>159</v>
      </c>
      <c r="F1" s="182" t="s">
        <v>160</v>
      </c>
      <c r="G1" s="182" t="s">
        <v>161</v>
      </c>
      <c r="H1" s="182" t="s">
        <v>162</v>
      </c>
      <c r="I1" s="182" t="s">
        <v>163</v>
      </c>
      <c r="J1" s="182" t="s">
        <v>164</v>
      </c>
      <c r="K1" s="182" t="s">
        <v>165</v>
      </c>
      <c r="L1" s="182" t="s">
        <v>166</v>
      </c>
      <c r="M1" s="175" t="s">
        <v>167</v>
      </c>
      <c r="N1" s="175" t="s">
        <v>168</v>
      </c>
      <c r="O1" s="175" t="s">
        <v>169</v>
      </c>
      <c r="P1" s="175" t="s">
        <v>170</v>
      </c>
      <c r="Q1" s="175" t="s">
        <v>171</v>
      </c>
      <c r="R1" s="175" t="s">
        <v>172</v>
      </c>
      <c r="S1" s="175" t="s">
        <v>173</v>
      </c>
      <c r="T1" s="175" t="s">
        <v>174</v>
      </c>
      <c r="U1" s="175" t="s">
        <v>175</v>
      </c>
      <c r="V1" s="175" t="s">
        <v>176</v>
      </c>
      <c r="W1" s="183" t="s">
        <v>177</v>
      </c>
      <c r="X1" s="183" t="s">
        <v>178</v>
      </c>
      <c r="Y1" s="183" t="s">
        <v>179</v>
      </c>
      <c r="Z1" s="183" t="s">
        <v>180</v>
      </c>
      <c r="AA1" s="183" t="s">
        <v>181</v>
      </c>
      <c r="AB1" s="183" t="s">
        <v>182</v>
      </c>
      <c r="AC1" s="183" t="s">
        <v>183</v>
      </c>
      <c r="AD1" s="183" t="s">
        <v>184</v>
      </c>
      <c r="AE1" s="183" t="s">
        <v>185</v>
      </c>
      <c r="AF1" s="183" t="s">
        <v>186</v>
      </c>
      <c r="AG1" s="184" t="s">
        <v>187</v>
      </c>
      <c r="AH1" s="184" t="s">
        <v>188</v>
      </c>
      <c r="AI1" s="184" t="s">
        <v>189</v>
      </c>
      <c r="AJ1" s="184" t="s">
        <v>190</v>
      </c>
      <c r="AK1" s="184" t="s">
        <v>191</v>
      </c>
      <c r="AL1" s="184" t="s">
        <v>192</v>
      </c>
      <c r="AM1" s="184" t="s">
        <v>193</v>
      </c>
      <c r="AN1" s="184" t="s">
        <v>194</v>
      </c>
      <c r="AO1" s="184" t="s">
        <v>195</v>
      </c>
      <c r="AP1" s="184" t="s">
        <v>196</v>
      </c>
      <c r="AQ1" s="197" t="s">
        <v>197</v>
      </c>
      <c r="AR1" s="197" t="s">
        <v>198</v>
      </c>
      <c r="AS1" s="197" t="s">
        <v>199</v>
      </c>
      <c r="AT1" s="197" t="s">
        <v>200</v>
      </c>
      <c r="AU1" s="197" t="s">
        <v>201</v>
      </c>
      <c r="AV1" s="197" t="s">
        <v>202</v>
      </c>
      <c r="AW1" s="197" t="s">
        <v>203</v>
      </c>
      <c r="AX1" s="197" t="s">
        <v>204</v>
      </c>
      <c r="AY1" s="197" t="s">
        <v>205</v>
      </c>
      <c r="AZ1" s="197" t="s">
        <v>206</v>
      </c>
      <c r="BA1" s="185" t="s">
        <v>207</v>
      </c>
      <c r="BB1" s="185" t="s">
        <v>208</v>
      </c>
      <c r="BC1" s="185" t="s">
        <v>209</v>
      </c>
      <c r="BD1" s="185" t="s">
        <v>210</v>
      </c>
      <c r="BE1" s="185" t="s">
        <v>211</v>
      </c>
      <c r="BF1" s="185" t="s">
        <v>212</v>
      </c>
      <c r="BG1" s="185" t="s">
        <v>213</v>
      </c>
      <c r="BH1" s="185" t="s">
        <v>214</v>
      </c>
      <c r="BI1" s="185" t="s">
        <v>215</v>
      </c>
      <c r="BJ1" s="185" t="s">
        <v>216</v>
      </c>
      <c r="BK1" s="175" t="s">
        <v>217</v>
      </c>
      <c r="BL1" s="175" t="s">
        <v>218</v>
      </c>
      <c r="BM1" s="175" t="s">
        <v>219</v>
      </c>
      <c r="BN1" s="175" t="s">
        <v>220</v>
      </c>
      <c r="BO1" s="175" t="s">
        <v>221</v>
      </c>
      <c r="BP1" s="175" t="s">
        <v>222</v>
      </c>
      <c r="BQ1" s="175" t="s">
        <v>223</v>
      </c>
      <c r="BR1" s="175" t="s">
        <v>224</v>
      </c>
      <c r="BS1" s="175" t="s">
        <v>225</v>
      </c>
      <c r="BT1" s="175" t="s">
        <v>226</v>
      </c>
      <c r="BU1" s="182" t="s">
        <v>227</v>
      </c>
      <c r="BV1" s="182" t="s">
        <v>228</v>
      </c>
      <c r="BW1" s="182" t="s">
        <v>229</v>
      </c>
      <c r="BX1" s="182" t="s">
        <v>230</v>
      </c>
      <c r="BY1" s="182" t="s">
        <v>231</v>
      </c>
      <c r="BZ1" s="182" t="s">
        <v>232</v>
      </c>
      <c r="CA1" s="182" t="s">
        <v>233</v>
      </c>
      <c r="CB1" s="182" t="s">
        <v>234</v>
      </c>
      <c r="CC1" s="182" t="s">
        <v>235</v>
      </c>
      <c r="CD1" s="182" t="s">
        <v>236</v>
      </c>
      <c r="CE1" s="185" t="s">
        <v>237</v>
      </c>
      <c r="CF1" s="185" t="s">
        <v>238</v>
      </c>
      <c r="CG1" s="185" t="s">
        <v>239</v>
      </c>
      <c r="CH1" s="185" t="s">
        <v>240</v>
      </c>
      <c r="CI1" s="185" t="s">
        <v>241</v>
      </c>
      <c r="CJ1" s="185" t="s">
        <v>242</v>
      </c>
      <c r="CK1" s="185" t="s">
        <v>243</v>
      </c>
      <c r="CL1" s="185" t="s">
        <v>244</v>
      </c>
      <c r="CM1" s="185" t="s">
        <v>245</v>
      </c>
      <c r="CN1" s="185" t="s">
        <v>246</v>
      </c>
      <c r="CO1" s="175" t="s">
        <v>247</v>
      </c>
      <c r="CP1" s="175" t="s">
        <v>248</v>
      </c>
      <c r="CQ1" s="175" t="s">
        <v>249</v>
      </c>
      <c r="CR1" s="175" t="s">
        <v>250</v>
      </c>
      <c r="CS1" s="175" t="s">
        <v>251</v>
      </c>
      <c r="CT1" s="175" t="s">
        <v>252</v>
      </c>
      <c r="CU1" s="175" t="s">
        <v>253</v>
      </c>
      <c r="CV1" s="175" t="s">
        <v>254</v>
      </c>
      <c r="CW1" s="175" t="s">
        <v>255</v>
      </c>
      <c r="CX1" s="175" t="s">
        <v>256</v>
      </c>
    </row>
    <row r="2" spans="1:103" x14ac:dyDescent="0.2"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1"/>
      <c r="AY2" s="41"/>
      <c r="AZ2" s="41"/>
      <c r="BA2" s="40"/>
      <c r="BB2" s="40"/>
      <c r="BC2" s="41"/>
      <c r="BD2" s="40"/>
      <c r="BE2" s="40"/>
      <c r="BL2" s="31" t="s">
        <v>29</v>
      </c>
    </row>
    <row r="3" spans="1:103" x14ac:dyDescent="0.2">
      <c r="B3" s="174" t="s">
        <v>40</v>
      </c>
      <c r="C3" s="186">
        <v>115</v>
      </c>
      <c r="D3" s="186">
        <v>132</v>
      </c>
      <c r="E3" s="186">
        <v>147</v>
      </c>
      <c r="F3" s="186">
        <v>160</v>
      </c>
      <c r="G3" s="186">
        <v>170</v>
      </c>
      <c r="H3" s="186">
        <v>180</v>
      </c>
      <c r="I3" s="186">
        <v>185</v>
      </c>
      <c r="J3" s="186">
        <v>190</v>
      </c>
      <c r="K3" s="186">
        <v>195</v>
      </c>
      <c r="L3" s="186">
        <v>200</v>
      </c>
      <c r="M3" s="187">
        <v>110</v>
      </c>
      <c r="N3" s="187">
        <v>125</v>
      </c>
      <c r="O3" s="187">
        <v>140</v>
      </c>
      <c r="P3" s="187">
        <v>150</v>
      </c>
      <c r="Q3" s="187">
        <v>160</v>
      </c>
      <c r="R3" s="187">
        <v>170</v>
      </c>
      <c r="S3" s="187">
        <v>175</v>
      </c>
      <c r="T3" s="187">
        <v>180</v>
      </c>
      <c r="U3" s="187">
        <v>185</v>
      </c>
      <c r="V3" s="187">
        <v>190</v>
      </c>
      <c r="W3" s="188">
        <v>105</v>
      </c>
      <c r="X3" s="188">
        <v>117</v>
      </c>
      <c r="Y3" s="188">
        <v>130</v>
      </c>
      <c r="Z3" s="188">
        <v>140</v>
      </c>
      <c r="AA3" s="188">
        <v>150</v>
      </c>
      <c r="AB3" s="189">
        <v>160</v>
      </c>
      <c r="AC3" s="189">
        <v>165</v>
      </c>
      <c r="AD3" s="189">
        <v>170</v>
      </c>
      <c r="AE3" s="189">
        <v>172</v>
      </c>
      <c r="AF3" s="189">
        <v>175</v>
      </c>
      <c r="AG3" s="196">
        <v>95</v>
      </c>
      <c r="AH3" s="196">
        <v>107</v>
      </c>
      <c r="AI3" s="196">
        <v>120</v>
      </c>
      <c r="AJ3" s="196">
        <v>127</v>
      </c>
      <c r="AK3" s="196">
        <v>135</v>
      </c>
      <c r="AL3" s="196">
        <v>145</v>
      </c>
      <c r="AM3" s="196">
        <v>150</v>
      </c>
      <c r="AN3" s="196">
        <v>155</v>
      </c>
      <c r="AO3" s="196">
        <v>160</v>
      </c>
      <c r="AP3" s="196">
        <v>165</v>
      </c>
      <c r="AQ3" s="198">
        <v>82</v>
      </c>
      <c r="AR3" s="198">
        <v>92</v>
      </c>
      <c r="AS3" s="198">
        <v>105</v>
      </c>
      <c r="AT3" s="198">
        <v>115</v>
      </c>
      <c r="AU3" s="198">
        <v>120</v>
      </c>
      <c r="AV3" s="198">
        <v>125</v>
      </c>
      <c r="AW3" s="198">
        <v>130</v>
      </c>
      <c r="AX3" s="198">
        <v>135</v>
      </c>
      <c r="AY3" s="198">
        <v>140</v>
      </c>
      <c r="AZ3" s="198">
        <v>145</v>
      </c>
      <c r="BA3" s="199">
        <v>72</v>
      </c>
      <c r="BB3" s="199">
        <v>82</v>
      </c>
      <c r="BC3" s="199">
        <v>92</v>
      </c>
      <c r="BD3" s="199">
        <v>100</v>
      </c>
      <c r="BE3" s="199">
        <v>105</v>
      </c>
      <c r="BF3" s="199">
        <v>100</v>
      </c>
      <c r="BG3" s="199">
        <v>115</v>
      </c>
      <c r="BH3" s="199">
        <v>120</v>
      </c>
      <c r="BI3" s="199">
        <v>122</v>
      </c>
      <c r="BJ3" s="199">
        <v>130</v>
      </c>
      <c r="BK3" s="200">
        <v>55</v>
      </c>
      <c r="BL3" s="200">
        <v>67</v>
      </c>
      <c r="BM3" s="200">
        <v>75</v>
      </c>
      <c r="BN3" s="200">
        <v>80</v>
      </c>
      <c r="BO3" s="200">
        <v>90</v>
      </c>
      <c r="BP3" s="200">
        <v>95</v>
      </c>
      <c r="BQ3" s="200">
        <v>100</v>
      </c>
      <c r="BR3" s="200">
        <v>102</v>
      </c>
      <c r="BS3" s="200">
        <v>105</v>
      </c>
      <c r="BT3" s="200">
        <v>110</v>
      </c>
      <c r="BU3" s="186">
        <v>47</v>
      </c>
      <c r="BV3" s="186">
        <v>55</v>
      </c>
      <c r="BW3" s="186">
        <v>60</v>
      </c>
      <c r="BX3" s="186">
        <v>65</v>
      </c>
      <c r="BY3" s="186">
        <v>70</v>
      </c>
      <c r="BZ3" s="186">
        <v>72</v>
      </c>
      <c r="CA3" s="186">
        <v>77</v>
      </c>
      <c r="CB3" s="186">
        <v>80</v>
      </c>
      <c r="CC3" s="186">
        <v>85</v>
      </c>
      <c r="CD3" s="186">
        <v>90</v>
      </c>
      <c r="CE3" s="190">
        <v>42</v>
      </c>
      <c r="CF3" s="190">
        <v>50</v>
      </c>
      <c r="CG3" s="190">
        <v>55</v>
      </c>
      <c r="CH3" s="190">
        <v>57</v>
      </c>
      <c r="CI3" s="190">
        <v>60</v>
      </c>
      <c r="CJ3" s="190">
        <v>62</v>
      </c>
      <c r="CK3" s="190">
        <v>65</v>
      </c>
      <c r="CL3" s="190">
        <v>70</v>
      </c>
      <c r="CM3" s="190">
        <v>75</v>
      </c>
      <c r="CN3" s="190">
        <v>77</v>
      </c>
      <c r="CO3" s="70">
        <v>40</v>
      </c>
      <c r="CP3" s="70">
        <v>45</v>
      </c>
      <c r="CQ3" s="70">
        <v>47</v>
      </c>
      <c r="CR3" s="191">
        <v>50</v>
      </c>
      <c r="CS3" s="191">
        <v>52</v>
      </c>
      <c r="CT3" s="191">
        <v>55</v>
      </c>
      <c r="CU3" s="70">
        <v>57</v>
      </c>
      <c r="CV3" s="70">
        <v>60</v>
      </c>
      <c r="CW3" s="70">
        <v>62</v>
      </c>
      <c r="CX3" s="70">
        <v>65</v>
      </c>
      <c r="CY3" s="181" t="s">
        <v>25</v>
      </c>
    </row>
    <row r="4" spans="1:103" x14ac:dyDescent="0.2">
      <c r="B4" s="174" t="s">
        <v>44</v>
      </c>
      <c r="C4" s="186">
        <v>140</v>
      </c>
      <c r="D4" s="186">
        <v>155</v>
      </c>
      <c r="E4" s="186">
        <v>170</v>
      </c>
      <c r="F4" s="186">
        <v>182</v>
      </c>
      <c r="G4" s="186">
        <v>192</v>
      </c>
      <c r="H4" s="186">
        <v>202</v>
      </c>
      <c r="I4" s="186">
        <v>210</v>
      </c>
      <c r="J4" s="186">
        <v>214</v>
      </c>
      <c r="K4" s="186">
        <v>218</v>
      </c>
      <c r="L4" s="186">
        <v>222</v>
      </c>
      <c r="M4" s="187">
        <v>132</v>
      </c>
      <c r="N4" s="187">
        <v>146</v>
      </c>
      <c r="O4" s="187">
        <v>160</v>
      </c>
      <c r="P4" s="187">
        <v>170</v>
      </c>
      <c r="Q4" s="187">
        <v>180</v>
      </c>
      <c r="R4" s="187">
        <v>190</v>
      </c>
      <c r="S4" s="187">
        <v>197</v>
      </c>
      <c r="T4" s="187">
        <v>202</v>
      </c>
      <c r="U4" s="187">
        <v>206</v>
      </c>
      <c r="V4" s="187">
        <v>210</v>
      </c>
      <c r="W4" s="188">
        <v>125</v>
      </c>
      <c r="X4" s="188">
        <v>137</v>
      </c>
      <c r="Y4" s="188">
        <v>150</v>
      </c>
      <c r="Z4" s="188">
        <v>160</v>
      </c>
      <c r="AA4" s="188">
        <v>170</v>
      </c>
      <c r="AB4" s="189">
        <v>180</v>
      </c>
      <c r="AC4" s="189">
        <v>185</v>
      </c>
      <c r="AD4" s="189">
        <v>190</v>
      </c>
      <c r="AE4" s="189">
        <v>194</v>
      </c>
      <c r="AF4" s="189">
        <v>197</v>
      </c>
      <c r="AG4" s="196">
        <v>115</v>
      </c>
      <c r="AH4" s="196">
        <v>128</v>
      </c>
      <c r="AI4" s="196">
        <v>140</v>
      </c>
      <c r="AJ4" s="196">
        <v>147</v>
      </c>
      <c r="AK4" s="196">
        <v>157</v>
      </c>
      <c r="AL4" s="196">
        <v>167</v>
      </c>
      <c r="AM4" s="196">
        <v>172</v>
      </c>
      <c r="AN4" s="196">
        <v>177</v>
      </c>
      <c r="AO4" s="196">
        <v>180</v>
      </c>
      <c r="AP4" s="196">
        <v>182</v>
      </c>
      <c r="AQ4" s="198">
        <v>100</v>
      </c>
      <c r="AR4" s="198">
        <v>112</v>
      </c>
      <c r="AS4" s="198">
        <v>120</v>
      </c>
      <c r="AT4" s="198">
        <v>127</v>
      </c>
      <c r="AU4" s="198">
        <v>137</v>
      </c>
      <c r="AV4" s="198">
        <v>143</v>
      </c>
      <c r="AW4" s="198">
        <v>150</v>
      </c>
      <c r="AX4" s="198">
        <v>153</v>
      </c>
      <c r="AY4" s="198">
        <v>157</v>
      </c>
      <c r="AZ4" s="198">
        <v>160</v>
      </c>
      <c r="BA4" s="199">
        <v>90</v>
      </c>
      <c r="BB4" s="199">
        <v>100</v>
      </c>
      <c r="BC4" s="199">
        <v>110</v>
      </c>
      <c r="BD4" s="199">
        <v>117</v>
      </c>
      <c r="BE4" s="199">
        <v>125</v>
      </c>
      <c r="BF4" s="199">
        <v>130</v>
      </c>
      <c r="BG4" s="199">
        <v>137</v>
      </c>
      <c r="BH4" s="199">
        <v>140</v>
      </c>
      <c r="BI4" s="199">
        <v>143</v>
      </c>
      <c r="BJ4" s="199">
        <v>147</v>
      </c>
      <c r="BK4" s="200">
        <v>75</v>
      </c>
      <c r="BL4" s="200">
        <v>87</v>
      </c>
      <c r="BM4" s="200">
        <v>95</v>
      </c>
      <c r="BN4" s="200">
        <v>100</v>
      </c>
      <c r="BO4" s="200">
        <v>107</v>
      </c>
      <c r="BP4" s="200">
        <v>113</v>
      </c>
      <c r="BQ4" s="200">
        <v>117</v>
      </c>
      <c r="BR4" s="200">
        <v>120</v>
      </c>
      <c r="BS4" s="200">
        <v>123</v>
      </c>
      <c r="BT4" s="200">
        <v>127</v>
      </c>
      <c r="BU4" s="186">
        <v>64</v>
      </c>
      <c r="BV4" s="186">
        <v>72</v>
      </c>
      <c r="BW4" s="186">
        <v>80</v>
      </c>
      <c r="BX4" s="186">
        <v>85</v>
      </c>
      <c r="BY4" s="186">
        <v>90</v>
      </c>
      <c r="BZ4" s="186">
        <v>95</v>
      </c>
      <c r="CA4" s="186">
        <v>100</v>
      </c>
      <c r="CB4" s="186">
        <v>102</v>
      </c>
      <c r="CC4" s="186">
        <v>105</v>
      </c>
      <c r="CD4" s="186">
        <v>107</v>
      </c>
      <c r="CE4" s="190">
        <v>57</v>
      </c>
      <c r="CF4" s="190">
        <v>62</v>
      </c>
      <c r="CG4" s="190">
        <v>70</v>
      </c>
      <c r="CH4" s="190">
        <v>75</v>
      </c>
      <c r="CI4" s="190">
        <v>77</v>
      </c>
      <c r="CJ4" s="190">
        <v>82</v>
      </c>
      <c r="CK4" s="190">
        <v>85</v>
      </c>
      <c r="CL4" s="190">
        <v>87</v>
      </c>
      <c r="CM4" s="190">
        <v>90</v>
      </c>
      <c r="CN4" s="190">
        <v>92</v>
      </c>
      <c r="CO4" s="70">
        <v>50</v>
      </c>
      <c r="CP4" s="70">
        <v>54</v>
      </c>
      <c r="CQ4" s="70">
        <v>57</v>
      </c>
      <c r="CR4" s="70">
        <v>60</v>
      </c>
      <c r="CS4" s="70">
        <v>63</v>
      </c>
      <c r="CT4" s="70">
        <v>65</v>
      </c>
      <c r="CU4" s="70">
        <v>67</v>
      </c>
      <c r="CV4" s="70">
        <v>70</v>
      </c>
      <c r="CW4" s="70">
        <v>72</v>
      </c>
      <c r="CX4" s="70">
        <v>75</v>
      </c>
      <c r="CY4" s="181" t="s">
        <v>41</v>
      </c>
    </row>
    <row r="5" spans="1:103" x14ac:dyDescent="0.2">
      <c r="B5" s="174" t="s">
        <v>42</v>
      </c>
      <c r="C5" s="186">
        <v>153</v>
      </c>
      <c r="D5" s="186">
        <v>165</v>
      </c>
      <c r="E5" s="186">
        <v>176</v>
      </c>
      <c r="F5" s="186">
        <v>186</v>
      </c>
      <c r="G5" s="186">
        <v>197</v>
      </c>
      <c r="H5" s="186">
        <v>207</v>
      </c>
      <c r="I5" s="186">
        <v>214</v>
      </c>
      <c r="J5" s="186">
        <v>219</v>
      </c>
      <c r="K5" s="186">
        <v>224</v>
      </c>
      <c r="L5" s="186">
        <v>231</v>
      </c>
      <c r="M5" s="187">
        <v>144</v>
      </c>
      <c r="N5" s="187">
        <v>156</v>
      </c>
      <c r="O5" s="187">
        <v>166</v>
      </c>
      <c r="P5" s="187">
        <v>176</v>
      </c>
      <c r="Q5" s="187">
        <v>186</v>
      </c>
      <c r="R5" s="187">
        <v>195</v>
      </c>
      <c r="S5" s="187">
        <v>202</v>
      </c>
      <c r="T5" s="187">
        <v>207</v>
      </c>
      <c r="U5" s="187">
        <v>211</v>
      </c>
      <c r="V5" s="187">
        <v>218</v>
      </c>
      <c r="W5" s="188">
        <v>136</v>
      </c>
      <c r="X5" s="188">
        <v>147</v>
      </c>
      <c r="Y5" s="188">
        <v>157</v>
      </c>
      <c r="Z5" s="188">
        <v>165</v>
      </c>
      <c r="AA5" s="188">
        <v>175</v>
      </c>
      <c r="AB5" s="189">
        <v>184</v>
      </c>
      <c r="AC5" s="189">
        <v>190</v>
      </c>
      <c r="AD5" s="189">
        <v>195</v>
      </c>
      <c r="AE5" s="189">
        <v>199</v>
      </c>
      <c r="AF5" s="189">
        <v>205</v>
      </c>
      <c r="AG5" s="196">
        <v>127</v>
      </c>
      <c r="AH5" s="196">
        <v>138</v>
      </c>
      <c r="AI5" s="196">
        <v>147</v>
      </c>
      <c r="AJ5" s="196">
        <v>155</v>
      </c>
      <c r="AK5" s="196">
        <v>164</v>
      </c>
      <c r="AL5" s="196">
        <v>172</v>
      </c>
      <c r="AM5" s="196">
        <v>178</v>
      </c>
      <c r="AN5" s="196">
        <v>182</v>
      </c>
      <c r="AO5" s="196">
        <v>187</v>
      </c>
      <c r="AP5" s="196">
        <v>192</v>
      </c>
      <c r="AQ5" s="198">
        <v>110</v>
      </c>
      <c r="AR5" s="198">
        <v>119</v>
      </c>
      <c r="AS5" s="198">
        <v>127</v>
      </c>
      <c r="AT5" s="198">
        <v>134</v>
      </c>
      <c r="AU5" s="198">
        <v>142</v>
      </c>
      <c r="AV5" s="198">
        <v>149</v>
      </c>
      <c r="AW5" s="198">
        <v>154</v>
      </c>
      <c r="AX5" s="198">
        <v>158</v>
      </c>
      <c r="AY5" s="198">
        <v>161</v>
      </c>
      <c r="AZ5" s="198">
        <v>166</v>
      </c>
      <c r="BA5" s="199">
        <v>101</v>
      </c>
      <c r="BB5" s="199">
        <v>109</v>
      </c>
      <c r="BC5" s="199">
        <v>116</v>
      </c>
      <c r="BD5" s="199">
        <v>123</v>
      </c>
      <c r="BE5" s="199">
        <v>130</v>
      </c>
      <c r="BF5" s="199">
        <v>136</v>
      </c>
      <c r="BG5" s="199">
        <v>141</v>
      </c>
      <c r="BH5" s="199">
        <v>144</v>
      </c>
      <c r="BI5" s="199">
        <v>148</v>
      </c>
      <c r="BJ5" s="199">
        <v>152</v>
      </c>
      <c r="BK5" s="200">
        <v>87</v>
      </c>
      <c r="BL5" s="200">
        <v>94</v>
      </c>
      <c r="BM5" s="200">
        <v>101</v>
      </c>
      <c r="BN5" s="200">
        <v>106</v>
      </c>
      <c r="BO5" s="200">
        <v>113</v>
      </c>
      <c r="BP5" s="200">
        <v>118</v>
      </c>
      <c r="BQ5" s="200">
        <v>122</v>
      </c>
      <c r="BR5" s="200">
        <v>125</v>
      </c>
      <c r="BS5" s="200">
        <v>128</v>
      </c>
      <c r="BT5" s="200">
        <v>132</v>
      </c>
      <c r="BU5" s="186">
        <v>74</v>
      </c>
      <c r="BV5" s="186">
        <v>80</v>
      </c>
      <c r="BW5" s="186">
        <v>86</v>
      </c>
      <c r="BX5" s="186">
        <v>91</v>
      </c>
      <c r="BY5" s="186">
        <v>96</v>
      </c>
      <c r="BZ5" s="186">
        <v>101</v>
      </c>
      <c r="CA5" s="186">
        <v>104</v>
      </c>
      <c r="CB5" s="186">
        <v>107</v>
      </c>
      <c r="CC5" s="186">
        <v>109</v>
      </c>
      <c r="CD5" s="186">
        <v>112</v>
      </c>
      <c r="CE5" s="190">
        <v>64</v>
      </c>
      <c r="CF5" s="190">
        <v>70</v>
      </c>
      <c r="CG5" s="190">
        <v>74</v>
      </c>
      <c r="CH5" s="190">
        <v>79</v>
      </c>
      <c r="CI5" s="190">
        <v>83</v>
      </c>
      <c r="CJ5" s="190">
        <v>87</v>
      </c>
      <c r="CK5" s="190">
        <v>90</v>
      </c>
      <c r="CL5" s="190">
        <v>92</v>
      </c>
      <c r="CM5" s="190">
        <v>95</v>
      </c>
      <c r="CN5" s="190">
        <v>97</v>
      </c>
      <c r="CO5" s="70">
        <v>54</v>
      </c>
      <c r="CP5" s="70">
        <v>58</v>
      </c>
      <c r="CQ5" s="70">
        <v>62</v>
      </c>
      <c r="CR5" s="70">
        <v>66</v>
      </c>
      <c r="CS5" s="70">
        <v>69</v>
      </c>
      <c r="CT5" s="70">
        <v>73</v>
      </c>
      <c r="CU5" s="70">
        <v>75</v>
      </c>
      <c r="CV5" s="70">
        <v>77</v>
      </c>
      <c r="CW5" s="70">
        <v>79</v>
      </c>
      <c r="CX5" s="70">
        <v>81</v>
      </c>
      <c r="CY5" s="181" t="s">
        <v>42</v>
      </c>
    </row>
    <row r="6" spans="1:103" x14ac:dyDescent="0.2">
      <c r="B6" s="174" t="s">
        <v>43</v>
      </c>
      <c r="C6" s="186">
        <v>170</v>
      </c>
      <c r="D6" s="186">
        <v>184</v>
      </c>
      <c r="E6" s="186">
        <v>195</v>
      </c>
      <c r="F6" s="186">
        <v>206</v>
      </c>
      <c r="G6" s="186">
        <v>218</v>
      </c>
      <c r="H6" s="186">
        <v>228</v>
      </c>
      <c r="I6" s="186">
        <v>235</v>
      </c>
      <c r="J6" s="186">
        <v>240</v>
      </c>
      <c r="K6" s="186">
        <v>246</v>
      </c>
      <c r="L6" s="186">
        <v>250</v>
      </c>
      <c r="M6" s="187">
        <v>161</v>
      </c>
      <c r="N6" s="187">
        <v>173</v>
      </c>
      <c r="O6" s="187">
        <v>184</v>
      </c>
      <c r="P6" s="187">
        <v>194</v>
      </c>
      <c r="Q6" s="187">
        <v>205</v>
      </c>
      <c r="R6" s="187">
        <v>215</v>
      </c>
      <c r="S6" s="187">
        <v>222</v>
      </c>
      <c r="T6" s="187">
        <v>227</v>
      </c>
      <c r="U6" s="187">
        <v>232</v>
      </c>
      <c r="V6" s="187">
        <v>236</v>
      </c>
      <c r="W6" s="192">
        <v>149</v>
      </c>
      <c r="X6" s="192">
        <v>160</v>
      </c>
      <c r="Y6" s="192">
        <v>171</v>
      </c>
      <c r="Z6" s="192">
        <v>180</v>
      </c>
      <c r="AA6" s="192">
        <v>190</v>
      </c>
      <c r="AB6" s="193">
        <v>199</v>
      </c>
      <c r="AC6" s="193">
        <v>205</v>
      </c>
      <c r="AD6" s="193">
        <v>210</v>
      </c>
      <c r="AE6" s="193">
        <v>215</v>
      </c>
      <c r="AF6" s="193">
        <v>219</v>
      </c>
      <c r="AG6" s="196">
        <v>137</v>
      </c>
      <c r="AH6" s="196">
        <v>148</v>
      </c>
      <c r="AI6" s="196">
        <v>157</v>
      </c>
      <c r="AJ6" s="196">
        <v>166</v>
      </c>
      <c r="AK6" s="196">
        <v>175</v>
      </c>
      <c r="AL6" s="196">
        <v>183</v>
      </c>
      <c r="AM6" s="196">
        <v>189</v>
      </c>
      <c r="AN6" s="196">
        <v>193</v>
      </c>
      <c r="AO6" s="196">
        <v>198</v>
      </c>
      <c r="AP6" s="196">
        <v>201</v>
      </c>
      <c r="AQ6" s="198">
        <v>123</v>
      </c>
      <c r="AR6" s="198">
        <v>133</v>
      </c>
      <c r="AS6" s="198">
        <v>141</v>
      </c>
      <c r="AT6" s="198">
        <v>149</v>
      </c>
      <c r="AU6" s="198">
        <v>157</v>
      </c>
      <c r="AV6" s="198">
        <v>165</v>
      </c>
      <c r="AW6" s="198">
        <v>170</v>
      </c>
      <c r="AX6" s="198">
        <v>174</v>
      </c>
      <c r="AY6" s="198">
        <v>178</v>
      </c>
      <c r="AZ6" s="198">
        <v>181</v>
      </c>
      <c r="BA6" s="199">
        <v>111</v>
      </c>
      <c r="BB6" s="199">
        <v>120</v>
      </c>
      <c r="BC6" s="199">
        <v>127</v>
      </c>
      <c r="BD6" s="199">
        <v>134</v>
      </c>
      <c r="BE6" s="199">
        <v>142</v>
      </c>
      <c r="BF6" s="199">
        <v>148</v>
      </c>
      <c r="BG6" s="199">
        <v>153</v>
      </c>
      <c r="BH6" s="199">
        <v>156</v>
      </c>
      <c r="BI6" s="199">
        <v>160</v>
      </c>
      <c r="BJ6" s="199">
        <v>163</v>
      </c>
      <c r="BK6" s="200">
        <v>98</v>
      </c>
      <c r="BL6" s="200">
        <v>106</v>
      </c>
      <c r="BM6" s="200">
        <v>113</v>
      </c>
      <c r="BN6" s="200">
        <v>119</v>
      </c>
      <c r="BO6" s="200">
        <v>125</v>
      </c>
      <c r="BP6" s="200">
        <v>131</v>
      </c>
      <c r="BQ6" s="200">
        <v>135</v>
      </c>
      <c r="BR6" s="200">
        <v>139</v>
      </c>
      <c r="BS6" s="200">
        <v>142</v>
      </c>
      <c r="BT6" s="200">
        <v>144</v>
      </c>
      <c r="BU6" s="186">
        <v>86</v>
      </c>
      <c r="BV6" s="186">
        <v>92</v>
      </c>
      <c r="BW6" s="186">
        <v>98</v>
      </c>
      <c r="BX6" s="186">
        <v>104</v>
      </c>
      <c r="BY6" s="186">
        <v>109</v>
      </c>
      <c r="BZ6" s="186">
        <v>114</v>
      </c>
      <c r="CA6" s="186">
        <v>118</v>
      </c>
      <c r="CB6" s="186">
        <v>121</v>
      </c>
      <c r="CC6" s="186">
        <v>124</v>
      </c>
      <c r="CD6" s="186">
        <v>126</v>
      </c>
      <c r="CE6" s="190">
        <v>73</v>
      </c>
      <c r="CF6" s="190">
        <v>79</v>
      </c>
      <c r="CG6" s="190">
        <v>84</v>
      </c>
      <c r="CH6" s="190">
        <v>88</v>
      </c>
      <c r="CI6" s="190">
        <v>93</v>
      </c>
      <c r="CJ6" s="190">
        <v>97</v>
      </c>
      <c r="CK6" s="190">
        <v>100</v>
      </c>
      <c r="CL6" s="190">
        <v>103</v>
      </c>
      <c r="CM6" s="190">
        <v>105</v>
      </c>
      <c r="CN6" s="190">
        <v>107</v>
      </c>
      <c r="CO6" s="70">
        <v>60</v>
      </c>
      <c r="CP6" s="70">
        <v>64</v>
      </c>
      <c r="CQ6" s="70">
        <v>68</v>
      </c>
      <c r="CR6" s="70">
        <v>72</v>
      </c>
      <c r="CS6" s="70">
        <v>76</v>
      </c>
      <c r="CT6" s="70">
        <v>80</v>
      </c>
      <c r="CU6" s="70">
        <v>82</v>
      </c>
      <c r="CV6" s="70">
        <v>84</v>
      </c>
      <c r="CW6" s="70">
        <v>86</v>
      </c>
      <c r="CX6" s="70">
        <v>87</v>
      </c>
      <c r="CY6" s="181" t="s">
        <v>43</v>
      </c>
    </row>
    <row r="7" spans="1:103" x14ac:dyDescent="0.2">
      <c r="B7" s="174" t="s">
        <v>26</v>
      </c>
      <c r="C7" s="59">
        <v>1000</v>
      </c>
      <c r="D7" s="59">
        <v>1000</v>
      </c>
      <c r="E7" s="59">
        <v>1000</v>
      </c>
      <c r="F7" s="59">
        <v>1000</v>
      </c>
      <c r="G7" s="59">
        <v>1000</v>
      </c>
      <c r="H7" s="59">
        <v>1000</v>
      </c>
      <c r="I7" s="59">
        <v>1000</v>
      </c>
      <c r="J7" s="59">
        <v>1000</v>
      </c>
      <c r="K7" s="59">
        <v>1000</v>
      </c>
      <c r="L7" s="59">
        <v>1000</v>
      </c>
      <c r="M7" s="59">
        <v>1000</v>
      </c>
      <c r="N7" s="59">
        <v>1000</v>
      </c>
      <c r="O7" s="59">
        <v>1000</v>
      </c>
      <c r="P7" s="59">
        <v>1000</v>
      </c>
      <c r="Q7" s="59">
        <v>1000</v>
      </c>
      <c r="R7" s="59">
        <v>1000</v>
      </c>
      <c r="S7" s="59">
        <v>1000</v>
      </c>
      <c r="T7" s="59">
        <v>1000</v>
      </c>
      <c r="U7" s="59">
        <v>1000</v>
      </c>
      <c r="V7" s="59">
        <v>1000</v>
      </c>
      <c r="W7" s="59">
        <v>1000</v>
      </c>
      <c r="X7" s="59">
        <v>1000</v>
      </c>
      <c r="Y7" s="59">
        <v>1000</v>
      </c>
      <c r="Z7" s="59">
        <v>1000</v>
      </c>
      <c r="AA7" s="59">
        <v>1000</v>
      </c>
      <c r="AB7" s="59">
        <v>1000</v>
      </c>
      <c r="AC7" s="59">
        <v>1000</v>
      </c>
      <c r="AD7" s="59">
        <v>1000</v>
      </c>
      <c r="AE7" s="59">
        <v>1000</v>
      </c>
      <c r="AF7" s="59">
        <v>1000</v>
      </c>
      <c r="AG7" s="59">
        <v>1000</v>
      </c>
      <c r="AH7" s="59">
        <v>1000</v>
      </c>
      <c r="AI7" s="59">
        <v>1000</v>
      </c>
      <c r="AJ7" s="59">
        <v>1000</v>
      </c>
      <c r="AK7" s="59">
        <v>1000</v>
      </c>
      <c r="AL7" s="59">
        <v>1000</v>
      </c>
      <c r="AM7" s="59">
        <v>1000</v>
      </c>
      <c r="AN7" s="59">
        <v>1000</v>
      </c>
      <c r="AO7" s="59">
        <v>1000</v>
      </c>
      <c r="AP7" s="59">
        <v>1000</v>
      </c>
      <c r="AQ7" s="59">
        <v>1000</v>
      </c>
      <c r="AR7" s="59">
        <v>1000</v>
      </c>
      <c r="AS7" s="59">
        <v>1000</v>
      </c>
      <c r="AT7" s="59">
        <v>1000</v>
      </c>
      <c r="AU7" s="59">
        <v>1000</v>
      </c>
      <c r="AV7" s="59">
        <v>1000</v>
      </c>
      <c r="AW7" s="59">
        <v>1000</v>
      </c>
      <c r="AX7" s="59">
        <v>1000</v>
      </c>
      <c r="AY7" s="59">
        <v>1000</v>
      </c>
      <c r="AZ7" s="59">
        <v>1000</v>
      </c>
      <c r="BA7" s="59">
        <v>1000</v>
      </c>
      <c r="BB7" s="59">
        <v>1000</v>
      </c>
      <c r="BC7" s="59">
        <v>1000</v>
      </c>
      <c r="BD7" s="59">
        <v>1000</v>
      </c>
      <c r="BE7" s="59">
        <v>1000</v>
      </c>
      <c r="BF7" s="59">
        <v>1000</v>
      </c>
      <c r="BG7" s="59">
        <v>1000</v>
      </c>
      <c r="BH7" s="59">
        <v>1000</v>
      </c>
      <c r="BI7" s="59">
        <v>1000</v>
      </c>
      <c r="BJ7" s="59">
        <v>1000</v>
      </c>
      <c r="BK7" s="59">
        <v>1000</v>
      </c>
      <c r="BL7" s="59">
        <v>1000</v>
      </c>
      <c r="BM7" s="59">
        <v>1000</v>
      </c>
      <c r="BN7" s="59">
        <v>1000</v>
      </c>
      <c r="BO7" s="59">
        <v>1000</v>
      </c>
      <c r="BP7" s="59">
        <v>1000</v>
      </c>
      <c r="BQ7" s="59">
        <v>1000</v>
      </c>
      <c r="BR7" s="59">
        <v>1000</v>
      </c>
      <c r="BS7" s="59">
        <v>1000</v>
      </c>
      <c r="BT7" s="59">
        <v>1000</v>
      </c>
      <c r="BU7" s="59">
        <v>1000</v>
      </c>
      <c r="BV7" s="59">
        <v>1000</v>
      </c>
      <c r="BW7" s="59">
        <v>1000</v>
      </c>
      <c r="BX7" s="59">
        <v>1000</v>
      </c>
      <c r="BY7" s="59">
        <v>1000</v>
      </c>
      <c r="BZ7" s="59">
        <v>1000</v>
      </c>
      <c r="CA7" s="59">
        <v>1000</v>
      </c>
      <c r="CB7" s="59">
        <v>1000</v>
      </c>
      <c r="CC7" s="59">
        <v>1000</v>
      </c>
      <c r="CD7" s="59">
        <v>1000</v>
      </c>
      <c r="CE7" s="59">
        <v>1000</v>
      </c>
      <c r="CF7" s="59">
        <v>1000</v>
      </c>
      <c r="CG7" s="59">
        <v>1000</v>
      </c>
      <c r="CH7" s="59">
        <v>1000</v>
      </c>
      <c r="CI7" s="59">
        <v>1000</v>
      </c>
      <c r="CJ7" s="59">
        <v>1000</v>
      </c>
      <c r="CK7" s="59">
        <v>1000</v>
      </c>
      <c r="CL7" s="59">
        <v>1000</v>
      </c>
      <c r="CM7" s="59">
        <v>1000</v>
      </c>
      <c r="CN7" s="59">
        <v>1000</v>
      </c>
      <c r="CO7" s="59">
        <v>1000</v>
      </c>
      <c r="CP7" s="59">
        <v>1000</v>
      </c>
      <c r="CQ7" s="59">
        <v>1000</v>
      </c>
      <c r="CR7" s="59">
        <v>1000</v>
      </c>
      <c r="CS7" s="59">
        <v>1000</v>
      </c>
      <c r="CT7" s="59">
        <v>1000</v>
      </c>
      <c r="CU7" s="59">
        <v>1000</v>
      </c>
      <c r="CV7" s="59">
        <v>1000</v>
      </c>
      <c r="CW7" s="59">
        <v>1000</v>
      </c>
      <c r="CX7" s="59">
        <v>1000</v>
      </c>
      <c r="CY7" s="59"/>
    </row>
    <row r="8" spans="1:103" x14ac:dyDescent="0.2">
      <c r="B8" s="174" t="s">
        <v>27</v>
      </c>
      <c r="C8" s="59">
        <v>1000</v>
      </c>
      <c r="D8" s="59">
        <v>1000</v>
      </c>
      <c r="E8" s="59">
        <v>1000</v>
      </c>
      <c r="F8" s="59">
        <v>1000</v>
      </c>
      <c r="G8" s="59">
        <v>1000</v>
      </c>
      <c r="H8" s="59">
        <v>1000</v>
      </c>
      <c r="I8" s="59">
        <v>1000</v>
      </c>
      <c r="J8" s="59">
        <v>1000</v>
      </c>
      <c r="K8" s="59">
        <v>1000</v>
      </c>
      <c r="L8" s="59">
        <v>1000</v>
      </c>
      <c r="M8" s="59">
        <v>1000</v>
      </c>
      <c r="N8" s="59">
        <v>1000</v>
      </c>
      <c r="O8" s="59">
        <v>1000</v>
      </c>
      <c r="P8" s="59">
        <v>1000</v>
      </c>
      <c r="Q8" s="59">
        <v>1000</v>
      </c>
      <c r="R8" s="59">
        <v>1000</v>
      </c>
      <c r="S8" s="59">
        <v>1000</v>
      </c>
      <c r="T8" s="59">
        <v>1000</v>
      </c>
      <c r="U8" s="59">
        <v>1000</v>
      </c>
      <c r="V8" s="59">
        <v>1000</v>
      </c>
      <c r="W8" s="59">
        <v>1000</v>
      </c>
      <c r="X8" s="59">
        <v>1000</v>
      </c>
      <c r="Y8" s="59">
        <v>1000</v>
      </c>
      <c r="Z8" s="59">
        <v>1000</v>
      </c>
      <c r="AA8" s="59">
        <v>1000</v>
      </c>
      <c r="AB8" s="59">
        <v>1000</v>
      </c>
      <c r="AC8" s="59">
        <v>1000</v>
      </c>
      <c r="AD8" s="59">
        <v>1000</v>
      </c>
      <c r="AE8" s="59">
        <v>1000</v>
      </c>
      <c r="AF8" s="59">
        <v>1000</v>
      </c>
      <c r="AG8" s="59">
        <v>1000</v>
      </c>
      <c r="AH8" s="59">
        <v>1000</v>
      </c>
      <c r="AI8" s="59">
        <v>1000</v>
      </c>
      <c r="AJ8" s="59">
        <v>1000</v>
      </c>
      <c r="AK8" s="59">
        <v>1000</v>
      </c>
      <c r="AL8" s="59">
        <v>1000</v>
      </c>
      <c r="AM8" s="59">
        <v>1000</v>
      </c>
      <c r="AN8" s="59">
        <v>1000</v>
      </c>
      <c r="AO8" s="59">
        <v>1000</v>
      </c>
      <c r="AP8" s="59">
        <v>1000</v>
      </c>
      <c r="AQ8" s="59">
        <v>1000</v>
      </c>
      <c r="AR8" s="59">
        <v>1000</v>
      </c>
      <c r="AS8" s="59">
        <v>1000</v>
      </c>
      <c r="AT8" s="59">
        <v>1000</v>
      </c>
      <c r="AU8" s="59">
        <v>1000</v>
      </c>
      <c r="AV8" s="59">
        <v>1000</v>
      </c>
      <c r="AW8" s="59">
        <v>1000</v>
      </c>
      <c r="AX8" s="59">
        <v>1000</v>
      </c>
      <c r="AY8" s="59">
        <v>1000</v>
      </c>
      <c r="AZ8" s="59">
        <v>1000</v>
      </c>
      <c r="BA8" s="59">
        <v>1000</v>
      </c>
      <c r="BB8" s="59">
        <v>1000</v>
      </c>
      <c r="BC8" s="59">
        <v>1000</v>
      </c>
      <c r="BD8" s="59">
        <v>1000</v>
      </c>
      <c r="BE8" s="59">
        <v>1000</v>
      </c>
      <c r="BF8" s="59">
        <v>1000</v>
      </c>
      <c r="BG8" s="59">
        <v>1000</v>
      </c>
      <c r="BH8" s="59">
        <v>1000</v>
      </c>
      <c r="BI8" s="59">
        <v>1000</v>
      </c>
      <c r="BJ8" s="59">
        <v>1000</v>
      </c>
      <c r="BK8" s="59">
        <v>1000</v>
      </c>
      <c r="BL8" s="59">
        <v>1000</v>
      </c>
      <c r="BM8" s="59">
        <v>1000</v>
      </c>
      <c r="BN8" s="59">
        <v>1000</v>
      </c>
      <c r="BO8" s="59">
        <v>1000</v>
      </c>
      <c r="BP8" s="59">
        <v>1000</v>
      </c>
      <c r="BQ8" s="59">
        <v>1000</v>
      </c>
      <c r="BR8" s="59">
        <v>1000</v>
      </c>
      <c r="BS8" s="59">
        <v>1000</v>
      </c>
      <c r="BT8" s="59">
        <v>1000</v>
      </c>
      <c r="BU8" s="59">
        <v>1000</v>
      </c>
      <c r="BV8" s="59">
        <v>1000</v>
      </c>
      <c r="BW8" s="59">
        <v>1000</v>
      </c>
      <c r="BX8" s="59">
        <v>1000</v>
      </c>
      <c r="BY8" s="59">
        <v>1000</v>
      </c>
      <c r="BZ8" s="59">
        <v>1000</v>
      </c>
      <c r="CA8" s="59">
        <v>1000</v>
      </c>
      <c r="CB8" s="59">
        <v>1000</v>
      </c>
      <c r="CC8" s="59">
        <v>1000</v>
      </c>
      <c r="CD8" s="59">
        <v>1000</v>
      </c>
      <c r="CE8" s="59">
        <v>1000</v>
      </c>
      <c r="CF8" s="59">
        <v>1000</v>
      </c>
      <c r="CG8" s="59">
        <v>1000</v>
      </c>
      <c r="CH8" s="59">
        <v>1000</v>
      </c>
      <c r="CI8" s="59">
        <v>1000</v>
      </c>
      <c r="CJ8" s="59">
        <v>1000</v>
      </c>
      <c r="CK8" s="59">
        <v>1000</v>
      </c>
      <c r="CL8" s="59">
        <v>1000</v>
      </c>
      <c r="CM8" s="59">
        <v>1000</v>
      </c>
      <c r="CN8" s="59">
        <v>1000</v>
      </c>
      <c r="CO8" s="59">
        <v>1000</v>
      </c>
      <c r="CP8" s="59">
        <v>1000</v>
      </c>
      <c r="CQ8" s="59">
        <v>1000</v>
      </c>
      <c r="CR8" s="59">
        <v>1000</v>
      </c>
      <c r="CS8" s="59">
        <v>1000</v>
      </c>
      <c r="CT8" s="59">
        <v>1000</v>
      </c>
      <c r="CU8" s="59">
        <v>1000</v>
      </c>
      <c r="CV8" s="59">
        <v>1000</v>
      </c>
      <c r="CW8" s="59">
        <v>1000</v>
      </c>
      <c r="CX8" s="59">
        <v>1000</v>
      </c>
      <c r="CY8" s="59"/>
    </row>
    <row r="9" spans="1:103" x14ac:dyDescent="0.2">
      <c r="B9" s="174" t="s">
        <v>28</v>
      </c>
      <c r="C9" s="59">
        <v>1000</v>
      </c>
      <c r="D9" s="59">
        <v>1000</v>
      </c>
      <c r="E9" s="59">
        <v>1000</v>
      </c>
      <c r="F9" s="59">
        <v>1000</v>
      </c>
      <c r="G9" s="59">
        <v>1000</v>
      </c>
      <c r="H9" s="59">
        <v>1000</v>
      </c>
      <c r="I9" s="59">
        <v>1000</v>
      </c>
      <c r="J9" s="59">
        <v>1000</v>
      </c>
      <c r="K9" s="59">
        <v>1000</v>
      </c>
      <c r="L9" s="59">
        <v>1000</v>
      </c>
      <c r="M9" s="59">
        <v>1000</v>
      </c>
      <c r="N9" s="59">
        <v>1000</v>
      </c>
      <c r="O9" s="59">
        <v>1000</v>
      </c>
      <c r="P9" s="59">
        <v>1000</v>
      </c>
      <c r="Q9" s="59">
        <v>1000</v>
      </c>
      <c r="R9" s="59">
        <v>1000</v>
      </c>
      <c r="S9" s="59">
        <v>1000</v>
      </c>
      <c r="T9" s="59">
        <v>1000</v>
      </c>
      <c r="U9" s="59">
        <v>1000</v>
      </c>
      <c r="V9" s="59">
        <v>1000</v>
      </c>
      <c r="W9" s="59">
        <v>1000</v>
      </c>
      <c r="X9" s="59">
        <v>1000</v>
      </c>
      <c r="Y9" s="59">
        <v>1000</v>
      </c>
      <c r="Z9" s="59">
        <v>1000</v>
      </c>
      <c r="AA9" s="59">
        <v>1000</v>
      </c>
      <c r="AB9" s="59">
        <v>1000</v>
      </c>
      <c r="AC9" s="59">
        <v>1000</v>
      </c>
      <c r="AD9" s="59">
        <v>1000</v>
      </c>
      <c r="AE9" s="59">
        <v>1000</v>
      </c>
      <c r="AF9" s="59">
        <v>1000</v>
      </c>
      <c r="AG9" s="59">
        <v>1000</v>
      </c>
      <c r="AH9" s="59">
        <v>1000</v>
      </c>
      <c r="AI9" s="59">
        <v>1000</v>
      </c>
      <c r="AJ9" s="59">
        <v>1000</v>
      </c>
      <c r="AK9" s="59">
        <v>1000</v>
      </c>
      <c r="AL9" s="59">
        <v>1000</v>
      </c>
      <c r="AM9" s="59">
        <v>1000</v>
      </c>
      <c r="AN9" s="59">
        <v>1000</v>
      </c>
      <c r="AO9" s="59">
        <v>1000</v>
      </c>
      <c r="AP9" s="59">
        <v>1000</v>
      </c>
      <c r="AQ9" s="59">
        <v>1000</v>
      </c>
      <c r="AR9" s="59">
        <v>1000</v>
      </c>
      <c r="AS9" s="59">
        <v>1000</v>
      </c>
      <c r="AT9" s="59">
        <v>1000</v>
      </c>
      <c r="AU9" s="59">
        <v>1000</v>
      </c>
      <c r="AV9" s="59">
        <v>1000</v>
      </c>
      <c r="AW9" s="59">
        <v>1000</v>
      </c>
      <c r="AX9" s="59">
        <v>1000</v>
      </c>
      <c r="AY9" s="59">
        <v>1000</v>
      </c>
      <c r="AZ9" s="59">
        <v>1000</v>
      </c>
      <c r="BA9" s="59">
        <v>1000</v>
      </c>
      <c r="BB9" s="59">
        <v>1000</v>
      </c>
      <c r="BC9" s="59">
        <v>1000</v>
      </c>
      <c r="BD9" s="59">
        <v>1000</v>
      </c>
      <c r="BE9" s="59">
        <v>1000</v>
      </c>
      <c r="BF9" s="59">
        <v>1000</v>
      </c>
      <c r="BG9" s="59">
        <v>1000</v>
      </c>
      <c r="BH9" s="59">
        <v>1000</v>
      </c>
      <c r="BI9" s="59">
        <v>1000</v>
      </c>
      <c r="BJ9" s="59">
        <v>1000</v>
      </c>
      <c r="BK9" s="59">
        <v>1000</v>
      </c>
      <c r="BL9" s="59">
        <v>1000</v>
      </c>
      <c r="BM9" s="59">
        <v>1000</v>
      </c>
      <c r="BN9" s="59">
        <v>1000</v>
      </c>
      <c r="BO9" s="59">
        <v>1000</v>
      </c>
      <c r="BP9" s="59">
        <v>1000</v>
      </c>
      <c r="BQ9" s="59">
        <v>1000</v>
      </c>
      <c r="BR9" s="59">
        <v>1000</v>
      </c>
      <c r="BS9" s="59">
        <v>1000</v>
      </c>
      <c r="BT9" s="59">
        <v>1000</v>
      </c>
      <c r="BU9" s="59">
        <v>1000</v>
      </c>
      <c r="BV9" s="59">
        <v>1000</v>
      </c>
      <c r="BW9" s="59">
        <v>1000</v>
      </c>
      <c r="BX9" s="59">
        <v>1000</v>
      </c>
      <c r="BY9" s="59">
        <v>1000</v>
      </c>
      <c r="BZ9" s="59">
        <v>1000</v>
      </c>
      <c r="CA9" s="59">
        <v>1000</v>
      </c>
      <c r="CB9" s="59">
        <v>1000</v>
      </c>
      <c r="CC9" s="59">
        <v>1000</v>
      </c>
      <c r="CD9" s="59">
        <v>1000</v>
      </c>
      <c r="CE9" s="59">
        <v>1000</v>
      </c>
      <c r="CF9" s="59">
        <v>1000</v>
      </c>
      <c r="CG9" s="59">
        <v>1000</v>
      </c>
      <c r="CH9" s="59">
        <v>1000</v>
      </c>
      <c r="CI9" s="59">
        <v>1000</v>
      </c>
      <c r="CJ9" s="59">
        <v>1000</v>
      </c>
      <c r="CK9" s="59">
        <v>1000</v>
      </c>
      <c r="CL9" s="59">
        <v>1000</v>
      </c>
      <c r="CM9" s="59">
        <v>1000</v>
      </c>
      <c r="CN9" s="59">
        <v>1000</v>
      </c>
      <c r="CO9" s="59">
        <v>1000</v>
      </c>
      <c r="CP9" s="59">
        <v>1000</v>
      </c>
      <c r="CQ9" s="59">
        <v>1000</v>
      </c>
      <c r="CR9" s="59">
        <v>1000</v>
      </c>
      <c r="CS9" s="59">
        <v>1000</v>
      </c>
      <c r="CT9" s="59">
        <v>1000</v>
      </c>
      <c r="CU9" s="59">
        <v>1000</v>
      </c>
      <c r="CV9" s="59">
        <v>1000</v>
      </c>
      <c r="CW9" s="59">
        <v>1000</v>
      </c>
      <c r="CX9" s="59">
        <v>1000</v>
      </c>
      <c r="CY9" s="59"/>
    </row>
    <row r="11" spans="1:103" s="59" customFormat="1" x14ac:dyDescent="0.2">
      <c r="A11" s="73"/>
      <c r="B11" s="73"/>
      <c r="C11" s="73"/>
      <c r="D11" s="73"/>
      <c r="E11" s="73"/>
      <c r="F11" s="73"/>
      <c r="G11" s="171" t="s">
        <v>58</v>
      </c>
      <c r="H11" s="171" t="s">
        <v>59</v>
      </c>
      <c r="I11" s="171" t="s">
        <v>60</v>
      </c>
      <c r="J11" s="171" t="s">
        <v>61</v>
      </c>
      <c r="K11" s="171" t="s">
        <v>62</v>
      </c>
      <c r="L11" s="171" t="s">
        <v>63</v>
      </c>
      <c r="M11" s="171" t="s">
        <v>64</v>
      </c>
      <c r="N11" s="171" t="s">
        <v>65</v>
      </c>
      <c r="O11" s="171" t="s">
        <v>66</v>
      </c>
      <c r="P11" s="171" t="s">
        <v>156</v>
      </c>
    </row>
    <row r="12" spans="1:103" ht="21" x14ac:dyDescent="0.2">
      <c r="A12" s="45"/>
      <c r="B12" s="45"/>
      <c r="C12" s="194">
        <v>30</v>
      </c>
      <c r="D12" s="195">
        <v>1</v>
      </c>
      <c r="E12" s="42"/>
      <c r="F12" s="176">
        <v>20.010000000000002</v>
      </c>
      <c r="G12" s="177" t="s">
        <v>157</v>
      </c>
      <c r="H12" s="177" t="s">
        <v>167</v>
      </c>
      <c r="I12" s="177" t="s">
        <v>177</v>
      </c>
      <c r="J12" s="177" t="s">
        <v>187</v>
      </c>
      <c r="K12" s="177" t="s">
        <v>197</v>
      </c>
      <c r="L12" s="177" t="s">
        <v>207</v>
      </c>
      <c r="M12" s="177" t="s">
        <v>217</v>
      </c>
      <c r="N12" s="177" t="s">
        <v>227</v>
      </c>
      <c r="O12" s="177" t="s">
        <v>237</v>
      </c>
      <c r="P12" s="177" t="s">
        <v>247</v>
      </c>
    </row>
    <row r="13" spans="1:103" ht="21" x14ac:dyDescent="0.2">
      <c r="A13" s="45"/>
      <c r="B13" s="45"/>
      <c r="C13" s="194">
        <v>31</v>
      </c>
      <c r="D13" s="194">
        <v>1.016</v>
      </c>
      <c r="E13" s="42"/>
      <c r="F13" s="176">
        <v>55.01</v>
      </c>
      <c r="G13" s="177" t="s">
        <v>158</v>
      </c>
      <c r="H13" s="177" t="s">
        <v>168</v>
      </c>
      <c r="I13" s="177" t="s">
        <v>178</v>
      </c>
      <c r="J13" s="177" t="s">
        <v>188</v>
      </c>
      <c r="K13" s="177" t="s">
        <v>198</v>
      </c>
      <c r="L13" s="177" t="s">
        <v>208</v>
      </c>
      <c r="M13" s="177" t="s">
        <v>218</v>
      </c>
      <c r="N13" s="177" t="s">
        <v>228</v>
      </c>
      <c r="O13" s="177" t="s">
        <v>238</v>
      </c>
      <c r="P13" s="177" t="s">
        <v>248</v>
      </c>
    </row>
    <row r="14" spans="1:103" ht="21" x14ac:dyDescent="0.2">
      <c r="A14" s="45"/>
      <c r="B14" s="45"/>
      <c r="C14" s="194">
        <v>32</v>
      </c>
      <c r="D14" s="194">
        <v>1.0309999999999999</v>
      </c>
      <c r="E14" s="42"/>
      <c r="F14" s="178">
        <v>61.01</v>
      </c>
      <c r="G14" s="177" t="s">
        <v>159</v>
      </c>
      <c r="H14" s="177" t="s">
        <v>169</v>
      </c>
      <c r="I14" s="177" t="s">
        <v>179</v>
      </c>
      <c r="J14" s="177" t="s">
        <v>189</v>
      </c>
      <c r="K14" s="177" t="s">
        <v>199</v>
      </c>
      <c r="L14" s="177" t="s">
        <v>209</v>
      </c>
      <c r="M14" s="177" t="s">
        <v>219</v>
      </c>
      <c r="N14" s="177" t="s">
        <v>229</v>
      </c>
      <c r="O14" s="177" t="s">
        <v>239</v>
      </c>
      <c r="P14" s="177" t="s">
        <v>249</v>
      </c>
    </row>
    <row r="15" spans="1:103" ht="21" x14ac:dyDescent="0.2">
      <c r="A15" s="45"/>
      <c r="B15" s="45"/>
      <c r="C15" s="194">
        <v>33</v>
      </c>
      <c r="D15" s="194">
        <v>1.046</v>
      </c>
      <c r="E15" s="42"/>
      <c r="F15" s="179">
        <v>67.010000000000005</v>
      </c>
      <c r="G15" s="177" t="s">
        <v>160</v>
      </c>
      <c r="H15" s="177" t="s">
        <v>170</v>
      </c>
      <c r="I15" s="177" t="s">
        <v>180</v>
      </c>
      <c r="J15" s="177" t="s">
        <v>190</v>
      </c>
      <c r="K15" s="177" t="s">
        <v>200</v>
      </c>
      <c r="L15" s="177" t="s">
        <v>210</v>
      </c>
      <c r="M15" s="177" t="s">
        <v>220</v>
      </c>
      <c r="N15" s="177" t="s">
        <v>230</v>
      </c>
      <c r="O15" s="177" t="s">
        <v>240</v>
      </c>
      <c r="P15" s="177" t="s">
        <v>250</v>
      </c>
    </row>
    <row r="16" spans="1:103" ht="21" x14ac:dyDescent="0.2">
      <c r="A16" s="45"/>
      <c r="B16" s="45"/>
      <c r="C16" s="194">
        <v>34</v>
      </c>
      <c r="D16" s="194">
        <v>1.0589999999999999</v>
      </c>
      <c r="E16" s="42"/>
      <c r="F16" s="179">
        <v>73.010000000000005</v>
      </c>
      <c r="G16" s="177" t="s">
        <v>161</v>
      </c>
      <c r="H16" s="177" t="s">
        <v>171</v>
      </c>
      <c r="I16" s="177" t="s">
        <v>181</v>
      </c>
      <c r="J16" s="177" t="s">
        <v>191</v>
      </c>
      <c r="K16" s="177" t="s">
        <v>201</v>
      </c>
      <c r="L16" s="177" t="s">
        <v>211</v>
      </c>
      <c r="M16" s="177" t="s">
        <v>221</v>
      </c>
      <c r="N16" s="177" t="s">
        <v>231</v>
      </c>
      <c r="O16" s="177" t="s">
        <v>241</v>
      </c>
      <c r="P16" s="177" t="s">
        <v>251</v>
      </c>
    </row>
    <row r="17" spans="1:16" ht="21" x14ac:dyDescent="0.3">
      <c r="A17" s="45"/>
      <c r="B17" s="45"/>
      <c r="C17" s="44">
        <v>35</v>
      </c>
      <c r="D17" s="44">
        <v>1.0720000000000001</v>
      </c>
      <c r="E17" s="42"/>
      <c r="F17" s="179">
        <v>81.010000000000005</v>
      </c>
      <c r="G17" s="177" t="s">
        <v>162</v>
      </c>
      <c r="H17" s="177" t="s">
        <v>172</v>
      </c>
      <c r="I17" s="177" t="s">
        <v>182</v>
      </c>
      <c r="J17" s="177" t="s">
        <v>192</v>
      </c>
      <c r="K17" s="177" t="s">
        <v>202</v>
      </c>
      <c r="L17" s="177" t="s">
        <v>212</v>
      </c>
      <c r="M17" s="177" t="s">
        <v>222</v>
      </c>
      <c r="N17" s="177" t="s">
        <v>232</v>
      </c>
      <c r="O17" s="177" t="s">
        <v>242</v>
      </c>
      <c r="P17" s="177" t="s">
        <v>252</v>
      </c>
    </row>
    <row r="18" spans="1:16" ht="21" x14ac:dyDescent="0.3">
      <c r="A18" s="45"/>
      <c r="B18" s="45"/>
      <c r="C18" s="44">
        <v>36</v>
      </c>
      <c r="D18" s="44">
        <v>1.083</v>
      </c>
      <c r="E18" s="42"/>
      <c r="F18" s="179">
        <v>89.05</v>
      </c>
      <c r="G18" s="177" t="s">
        <v>163</v>
      </c>
      <c r="H18" s="177" t="s">
        <v>173</v>
      </c>
      <c r="I18" s="177" t="s">
        <v>183</v>
      </c>
      <c r="J18" s="177" t="s">
        <v>193</v>
      </c>
      <c r="K18" s="177" t="s">
        <v>203</v>
      </c>
      <c r="L18" s="177" t="s">
        <v>213</v>
      </c>
      <c r="M18" s="177" t="s">
        <v>223</v>
      </c>
      <c r="N18" s="177" t="s">
        <v>233</v>
      </c>
      <c r="O18" s="177" t="s">
        <v>243</v>
      </c>
      <c r="P18" s="177" t="s">
        <v>253</v>
      </c>
    </row>
    <row r="19" spans="1:16" ht="21" x14ac:dyDescent="0.3">
      <c r="A19" s="45"/>
      <c r="B19" s="45"/>
      <c r="C19" s="44">
        <v>37</v>
      </c>
      <c r="D19" s="44">
        <v>1.0960000000000001</v>
      </c>
      <c r="E19" s="42"/>
      <c r="F19" s="179">
        <v>96.01</v>
      </c>
      <c r="G19" s="177" t="s">
        <v>164</v>
      </c>
      <c r="H19" s="177" t="s">
        <v>174</v>
      </c>
      <c r="I19" s="177" t="s">
        <v>184</v>
      </c>
      <c r="J19" s="177" t="s">
        <v>194</v>
      </c>
      <c r="K19" s="177" t="s">
        <v>204</v>
      </c>
      <c r="L19" s="177" t="s">
        <v>214</v>
      </c>
      <c r="M19" s="177" t="s">
        <v>224</v>
      </c>
      <c r="N19" s="177" t="s">
        <v>234</v>
      </c>
      <c r="O19" s="177" t="s">
        <v>244</v>
      </c>
      <c r="P19" s="177" t="s">
        <v>254</v>
      </c>
    </row>
    <row r="20" spans="1:16" ht="21" x14ac:dyDescent="0.3">
      <c r="A20" s="45"/>
      <c r="B20" s="45"/>
      <c r="C20" s="44">
        <v>38</v>
      </c>
      <c r="D20" s="44">
        <v>1.109</v>
      </c>
      <c r="E20" s="42"/>
      <c r="F20" s="179">
        <v>102.01</v>
      </c>
      <c r="G20" s="177" t="s">
        <v>165</v>
      </c>
      <c r="H20" s="177" t="s">
        <v>175</v>
      </c>
      <c r="I20" s="177" t="s">
        <v>185</v>
      </c>
      <c r="J20" s="177" t="s">
        <v>195</v>
      </c>
      <c r="K20" s="177" t="s">
        <v>205</v>
      </c>
      <c r="L20" s="177" t="s">
        <v>215</v>
      </c>
      <c r="M20" s="177" t="s">
        <v>225</v>
      </c>
      <c r="N20" s="177" t="s">
        <v>235</v>
      </c>
      <c r="O20" s="177" t="s">
        <v>245</v>
      </c>
      <c r="P20" s="177" t="s">
        <v>255</v>
      </c>
    </row>
    <row r="21" spans="1:16" ht="21" x14ac:dyDescent="0.3">
      <c r="A21" s="45"/>
      <c r="B21" s="45"/>
      <c r="C21" s="44">
        <v>39</v>
      </c>
      <c r="D21" s="44">
        <v>1.1220000000000001</v>
      </c>
      <c r="E21" s="42"/>
      <c r="F21" s="179">
        <v>109.01</v>
      </c>
      <c r="G21" s="177" t="s">
        <v>166</v>
      </c>
      <c r="H21" s="177" t="s">
        <v>176</v>
      </c>
      <c r="I21" s="177" t="s">
        <v>186</v>
      </c>
      <c r="J21" s="177" t="s">
        <v>196</v>
      </c>
      <c r="K21" s="177" t="s">
        <v>206</v>
      </c>
      <c r="L21" s="177" t="s">
        <v>216</v>
      </c>
      <c r="M21" s="177" t="s">
        <v>226</v>
      </c>
      <c r="N21" s="177" t="s">
        <v>236</v>
      </c>
      <c r="O21" s="177" t="s">
        <v>246</v>
      </c>
      <c r="P21" s="177" t="s">
        <v>256</v>
      </c>
    </row>
    <row r="22" spans="1:16" ht="21" x14ac:dyDescent="0.3">
      <c r="A22" s="45"/>
      <c r="B22" s="45"/>
      <c r="C22" s="44">
        <v>40</v>
      </c>
      <c r="D22" s="44">
        <v>1.135</v>
      </c>
      <c r="E22" s="42"/>
      <c r="F22" s="179"/>
      <c r="G22" s="177"/>
      <c r="H22" s="177"/>
      <c r="I22" s="177"/>
      <c r="J22" s="177"/>
      <c r="K22" s="177"/>
      <c r="L22" s="177"/>
      <c r="M22" s="177"/>
      <c r="N22" s="177"/>
      <c r="O22" s="177"/>
      <c r="P22" s="177"/>
    </row>
    <row r="23" spans="1:16" ht="21" x14ac:dyDescent="0.3">
      <c r="A23" s="45"/>
      <c r="B23" s="45"/>
      <c r="C23" s="44">
        <v>41</v>
      </c>
      <c r="D23" s="44">
        <v>1.149</v>
      </c>
      <c r="E23" s="42"/>
      <c r="F23" s="179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16" ht="21" x14ac:dyDescent="0.3">
      <c r="A24" s="45"/>
      <c r="B24" s="45"/>
      <c r="C24" s="44">
        <v>42</v>
      </c>
      <c r="D24" s="44">
        <v>1.1619999999999999</v>
      </c>
      <c r="E24" s="42"/>
      <c r="F24" s="180"/>
      <c r="G24" s="177"/>
      <c r="H24" s="177"/>
      <c r="I24" s="177"/>
      <c r="J24" s="177"/>
      <c r="K24" s="177"/>
      <c r="L24" s="177"/>
      <c r="M24" s="177"/>
      <c r="N24" s="177"/>
      <c r="O24" s="177"/>
      <c r="P24" s="177"/>
    </row>
    <row r="25" spans="1:16" ht="21" x14ac:dyDescent="0.3">
      <c r="A25" s="45"/>
      <c r="B25" s="45"/>
      <c r="C25" s="44">
        <v>43</v>
      </c>
      <c r="D25" s="44">
        <v>1.1759999999999999</v>
      </c>
      <c r="E25" s="42"/>
      <c r="F25" s="180"/>
      <c r="G25" s="177"/>
      <c r="H25" s="177"/>
      <c r="I25" s="177"/>
      <c r="J25" s="177"/>
      <c r="K25" s="177"/>
      <c r="L25" s="177"/>
      <c r="M25" s="177"/>
      <c r="N25" s="177"/>
      <c r="O25" s="177"/>
      <c r="P25" s="177"/>
    </row>
    <row r="26" spans="1:16" ht="21" x14ac:dyDescent="0.3">
      <c r="A26" s="45"/>
      <c r="B26" s="45"/>
      <c r="C26" s="44">
        <v>44</v>
      </c>
      <c r="D26" s="44">
        <v>1.1890000000000001</v>
      </c>
      <c r="E26" s="42"/>
      <c r="F26" s="180"/>
      <c r="G26" s="177"/>
      <c r="H26" s="177"/>
      <c r="I26" s="177"/>
      <c r="J26" s="177"/>
      <c r="K26" s="177"/>
      <c r="L26" s="177"/>
      <c r="M26" s="177"/>
      <c r="N26" s="177"/>
      <c r="O26" s="177"/>
      <c r="P26" s="177"/>
    </row>
    <row r="27" spans="1:16" ht="21" x14ac:dyDescent="0.3">
      <c r="A27" s="45"/>
      <c r="B27" s="45"/>
      <c r="C27" s="44">
        <v>45</v>
      </c>
      <c r="D27" s="44">
        <v>1.2030000000000001</v>
      </c>
      <c r="E27" s="42"/>
      <c r="F27" s="180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16" ht="21" x14ac:dyDescent="0.3">
      <c r="A28" s="45"/>
      <c r="B28" s="45"/>
      <c r="C28" s="44">
        <v>46</v>
      </c>
      <c r="D28" s="44">
        <v>1.218</v>
      </c>
      <c r="E28" s="42"/>
      <c r="F28" s="180"/>
      <c r="G28" s="177"/>
      <c r="H28" s="177"/>
      <c r="I28" s="177"/>
      <c r="J28" s="177"/>
      <c r="K28" s="177"/>
      <c r="L28" s="177"/>
      <c r="M28" s="177"/>
      <c r="N28" s="177"/>
      <c r="O28" s="177"/>
      <c r="P28" s="177"/>
    </row>
    <row r="29" spans="1:16" ht="21" x14ac:dyDescent="0.3">
      <c r="A29" s="45"/>
      <c r="B29" s="45"/>
      <c r="C29" s="44">
        <v>47</v>
      </c>
      <c r="D29" s="44">
        <v>1.2330000000000001</v>
      </c>
      <c r="E29" s="42"/>
      <c r="F29" s="180"/>
      <c r="G29" s="177"/>
      <c r="H29" s="177"/>
      <c r="I29" s="177"/>
      <c r="J29" s="177"/>
      <c r="K29" s="177"/>
      <c r="L29" s="177"/>
      <c r="M29" s="177"/>
      <c r="N29" s="177"/>
      <c r="O29" s="177"/>
      <c r="P29" s="177"/>
    </row>
    <row r="30" spans="1:16" ht="21" x14ac:dyDescent="0.3">
      <c r="A30" s="45"/>
      <c r="B30" s="45"/>
      <c r="C30" s="44">
        <v>48</v>
      </c>
      <c r="D30" s="44">
        <v>1.248</v>
      </c>
      <c r="F30" s="42" t="s">
        <v>29</v>
      </c>
    </row>
    <row r="31" spans="1:16" ht="21" x14ac:dyDescent="0.3">
      <c r="A31" s="45"/>
      <c r="B31" s="45"/>
      <c r="C31" s="44">
        <v>49</v>
      </c>
      <c r="D31" s="44">
        <v>1.2629999999999999</v>
      </c>
      <c r="F31" s="42"/>
      <c r="G31" s="46"/>
    </row>
    <row r="32" spans="1:16" ht="21" x14ac:dyDescent="0.3">
      <c r="A32" s="45"/>
      <c r="B32" s="45"/>
      <c r="C32" s="44">
        <v>50</v>
      </c>
      <c r="D32" s="44">
        <v>1.2789999999999999</v>
      </c>
      <c r="F32" s="42"/>
      <c r="G32" s="46"/>
    </row>
    <row r="33" spans="1:7" ht="21" x14ac:dyDescent="0.3">
      <c r="A33" s="45"/>
      <c r="B33" s="45"/>
      <c r="C33" s="44">
        <v>51</v>
      </c>
      <c r="D33" s="44">
        <v>1.2969999999999999</v>
      </c>
      <c r="F33" s="42"/>
      <c r="G33" s="46"/>
    </row>
    <row r="34" spans="1:7" ht="21" x14ac:dyDescent="0.3">
      <c r="A34" s="45"/>
      <c r="B34" s="45"/>
      <c r="C34" s="44">
        <v>52</v>
      </c>
      <c r="D34" s="44">
        <v>1.3160000000000001</v>
      </c>
      <c r="F34" s="42"/>
      <c r="G34" s="46"/>
    </row>
    <row r="35" spans="1:7" ht="21" x14ac:dyDescent="0.3">
      <c r="A35" s="45"/>
      <c r="B35" s="45"/>
      <c r="C35" s="44">
        <v>53</v>
      </c>
      <c r="D35" s="44">
        <v>1.3380000000000001</v>
      </c>
      <c r="F35" s="42"/>
      <c r="G35" s="46"/>
    </row>
    <row r="36" spans="1:7" ht="21" x14ac:dyDescent="0.3">
      <c r="A36" s="45"/>
      <c r="B36" s="45"/>
      <c r="C36" s="44">
        <v>54</v>
      </c>
      <c r="D36" s="44">
        <v>1.361</v>
      </c>
      <c r="F36" s="42"/>
      <c r="G36" s="46"/>
    </row>
    <row r="37" spans="1:7" ht="21" x14ac:dyDescent="0.3">
      <c r="A37" s="45"/>
      <c r="B37" s="45"/>
      <c r="C37" s="44">
        <v>55</v>
      </c>
      <c r="D37" s="44">
        <v>1.385</v>
      </c>
      <c r="F37" s="42"/>
      <c r="G37" s="46"/>
    </row>
    <row r="38" spans="1:7" ht="21" x14ac:dyDescent="0.3">
      <c r="A38" s="45"/>
      <c r="B38" s="45"/>
      <c r="C38" s="44">
        <v>56</v>
      </c>
      <c r="D38" s="44">
        <v>1.411</v>
      </c>
      <c r="F38" s="42"/>
      <c r="G38" s="46"/>
    </row>
    <row r="39" spans="1:7" ht="21" x14ac:dyDescent="0.3">
      <c r="A39" s="45"/>
      <c r="B39" s="45"/>
      <c r="C39" s="44">
        <v>57</v>
      </c>
      <c r="D39" s="44">
        <v>1.4370000000000001</v>
      </c>
      <c r="F39" s="42"/>
      <c r="G39" s="46"/>
    </row>
    <row r="40" spans="1:7" ht="21" x14ac:dyDescent="0.3">
      <c r="A40" s="45"/>
      <c r="B40" s="45"/>
      <c r="C40" s="44">
        <v>58</v>
      </c>
      <c r="D40" s="44">
        <v>1.462</v>
      </c>
      <c r="F40" s="42"/>
      <c r="G40" s="46"/>
    </row>
    <row r="41" spans="1:7" ht="21" x14ac:dyDescent="0.3">
      <c r="A41" s="45"/>
      <c r="B41" s="45"/>
      <c r="C41" s="44">
        <v>59</v>
      </c>
      <c r="D41" s="44">
        <v>1.488</v>
      </c>
      <c r="F41" s="42"/>
      <c r="G41" s="46"/>
    </row>
    <row r="42" spans="1:7" ht="21" x14ac:dyDescent="0.3">
      <c r="A42" s="45"/>
      <c r="B42" s="45"/>
      <c r="C42" s="44">
        <v>60</v>
      </c>
      <c r="D42" s="44">
        <v>1.514</v>
      </c>
      <c r="F42" s="42"/>
      <c r="G42" s="46"/>
    </row>
    <row r="43" spans="1:7" ht="21" x14ac:dyDescent="0.3">
      <c r="A43" s="45"/>
      <c r="B43" s="45"/>
      <c r="C43" s="44">
        <v>61</v>
      </c>
      <c r="D43" s="44">
        <v>1.5409999999999999</v>
      </c>
      <c r="F43" s="42"/>
      <c r="G43" s="46"/>
    </row>
    <row r="44" spans="1:7" ht="21" x14ac:dyDescent="0.3">
      <c r="A44" s="45"/>
      <c r="B44" s="45"/>
      <c r="C44" s="44">
        <v>62</v>
      </c>
      <c r="D44" s="44">
        <v>1.5680000000000001</v>
      </c>
      <c r="F44" s="42"/>
      <c r="G44" s="46"/>
    </row>
    <row r="45" spans="1:7" ht="21" x14ac:dyDescent="0.3">
      <c r="A45" s="45"/>
      <c r="B45" s="45"/>
      <c r="C45" s="44">
        <v>63</v>
      </c>
      <c r="D45" s="44">
        <v>1.5980000000000001</v>
      </c>
      <c r="F45" s="42"/>
      <c r="G45" s="46"/>
    </row>
    <row r="46" spans="1:7" ht="21" x14ac:dyDescent="0.3">
      <c r="A46" s="45"/>
      <c r="B46" s="45"/>
      <c r="C46" s="44">
        <v>64</v>
      </c>
      <c r="D46" s="44">
        <v>1.629</v>
      </c>
      <c r="F46" s="42"/>
      <c r="G46" s="46"/>
    </row>
    <row r="47" spans="1:7" ht="21" x14ac:dyDescent="0.3">
      <c r="A47" s="45"/>
      <c r="B47" s="45"/>
      <c r="C47" s="44">
        <v>65</v>
      </c>
      <c r="D47" s="44">
        <v>1.663</v>
      </c>
      <c r="F47" s="42"/>
      <c r="G47" s="46"/>
    </row>
    <row r="48" spans="1:7" ht="21" x14ac:dyDescent="0.3">
      <c r="A48" s="45"/>
      <c r="B48" s="45"/>
      <c r="C48" s="44">
        <v>66</v>
      </c>
      <c r="D48" s="44">
        <v>1.6990000000000001</v>
      </c>
      <c r="F48" s="42"/>
      <c r="G48" s="46"/>
    </row>
    <row r="49" spans="1:7" ht="21" x14ac:dyDescent="0.3">
      <c r="A49" s="45"/>
      <c r="B49" s="45"/>
      <c r="C49" s="44">
        <v>67</v>
      </c>
      <c r="D49" s="44">
        <v>1.738</v>
      </c>
      <c r="F49" s="42"/>
      <c r="G49" s="46"/>
    </row>
    <row r="50" spans="1:7" ht="21" x14ac:dyDescent="0.3">
      <c r="A50" s="45"/>
      <c r="B50" s="45"/>
      <c r="C50" s="44">
        <v>68</v>
      </c>
      <c r="D50" s="44">
        <v>1.7789999999999999</v>
      </c>
      <c r="F50" s="42"/>
      <c r="G50" s="46"/>
    </row>
    <row r="51" spans="1:7" ht="21" x14ac:dyDescent="0.3">
      <c r="A51" s="45"/>
      <c r="B51" s="45"/>
      <c r="C51" s="44">
        <v>69</v>
      </c>
      <c r="D51" s="44">
        <v>1.823</v>
      </c>
      <c r="F51" s="42"/>
      <c r="G51" s="46"/>
    </row>
    <row r="52" spans="1:7" ht="21" x14ac:dyDescent="0.3">
      <c r="A52" s="45"/>
      <c r="B52" s="45"/>
      <c r="C52" s="44">
        <v>70</v>
      </c>
      <c r="D52" s="44">
        <v>1.867</v>
      </c>
      <c r="F52" s="42"/>
      <c r="G52" s="46"/>
    </row>
    <row r="53" spans="1:7" ht="21" x14ac:dyDescent="0.3">
      <c r="A53" s="45"/>
      <c r="B53" s="45"/>
      <c r="C53" s="44">
        <v>71</v>
      </c>
      <c r="D53" s="44">
        <v>1.91</v>
      </c>
      <c r="F53" s="42"/>
      <c r="G53" s="46"/>
    </row>
    <row r="54" spans="1:7" ht="21" x14ac:dyDescent="0.3">
      <c r="A54" s="45"/>
      <c r="B54" s="45"/>
      <c r="C54" s="44">
        <v>72</v>
      </c>
      <c r="D54" s="44">
        <v>1.9530000000000001</v>
      </c>
      <c r="F54" s="42"/>
      <c r="G54" s="46"/>
    </row>
    <row r="55" spans="1:7" ht="21" x14ac:dyDescent="0.3">
      <c r="A55" s="45"/>
      <c r="B55" s="45"/>
      <c r="C55" s="44">
        <v>73</v>
      </c>
      <c r="D55" s="44">
        <v>2.004</v>
      </c>
      <c r="F55" s="42"/>
      <c r="G55" s="46"/>
    </row>
    <row r="56" spans="1:7" ht="21" x14ac:dyDescent="0.3">
      <c r="A56" s="45"/>
      <c r="B56" s="45"/>
      <c r="C56" s="44">
        <v>74</v>
      </c>
      <c r="D56" s="44">
        <v>2.06</v>
      </c>
      <c r="F56" s="42"/>
      <c r="G56" s="46"/>
    </row>
    <row r="57" spans="1:7" ht="21" x14ac:dyDescent="0.3">
      <c r="A57" s="45"/>
      <c r="B57" s="45"/>
      <c r="C57" s="44">
        <v>75</v>
      </c>
      <c r="D57" s="44">
        <v>2.117</v>
      </c>
      <c r="F57" s="42"/>
      <c r="G57" s="46"/>
    </row>
    <row r="58" spans="1:7" ht="21" x14ac:dyDescent="0.3">
      <c r="A58" s="45"/>
      <c r="B58" s="45"/>
      <c r="C58" s="44">
        <v>76</v>
      </c>
      <c r="D58" s="44">
        <v>2.181</v>
      </c>
      <c r="F58" s="42"/>
      <c r="G58" s="46"/>
    </row>
    <row r="59" spans="1:7" ht="21" x14ac:dyDescent="0.3">
      <c r="A59" s="45"/>
      <c r="B59" s="45"/>
      <c r="C59" s="44">
        <v>77</v>
      </c>
      <c r="D59" s="44">
        <v>2.2549999999999999</v>
      </c>
      <c r="F59" s="42"/>
      <c r="G59" s="46"/>
    </row>
    <row r="60" spans="1:7" ht="21" x14ac:dyDescent="0.3">
      <c r="A60" s="45"/>
      <c r="B60" s="45"/>
      <c r="C60" s="44">
        <v>78</v>
      </c>
      <c r="D60" s="44">
        <v>2.3359999999999999</v>
      </c>
      <c r="F60" s="42"/>
      <c r="G60" s="46"/>
    </row>
    <row r="61" spans="1:7" ht="21" x14ac:dyDescent="0.3">
      <c r="A61" s="45"/>
      <c r="B61" s="45"/>
      <c r="C61" s="44">
        <v>79</v>
      </c>
      <c r="D61" s="44">
        <v>2.419</v>
      </c>
      <c r="F61" s="42"/>
      <c r="G61" s="46"/>
    </row>
    <row r="62" spans="1:7" ht="21" x14ac:dyDescent="0.3">
      <c r="A62" s="45"/>
      <c r="B62" s="45"/>
      <c r="C62" s="44">
        <v>80</v>
      </c>
      <c r="D62" s="44">
        <v>2.504</v>
      </c>
      <c r="F62" s="42"/>
      <c r="G62" s="46"/>
    </row>
    <row r="63" spans="1:7" ht="21" x14ac:dyDescent="0.3">
      <c r="A63" s="45"/>
      <c r="B63" s="45"/>
      <c r="C63" s="44">
        <v>81</v>
      </c>
      <c r="D63" s="44">
        <v>2.597</v>
      </c>
      <c r="F63" s="42"/>
      <c r="G63" s="46"/>
    </row>
    <row r="64" spans="1:7" ht="21" x14ac:dyDescent="0.3">
      <c r="A64" s="45"/>
      <c r="B64" s="45"/>
      <c r="C64" s="44">
        <v>82</v>
      </c>
      <c r="D64" s="44">
        <v>2.702</v>
      </c>
      <c r="F64" s="42"/>
      <c r="G64" s="46"/>
    </row>
    <row r="65" spans="1:7" ht="21" x14ac:dyDescent="0.3">
      <c r="A65" s="45"/>
      <c r="B65" s="45"/>
      <c r="C65" s="44">
        <v>83</v>
      </c>
      <c r="D65" s="44">
        <v>2.831</v>
      </c>
      <c r="F65" s="42"/>
      <c r="G65" s="46"/>
    </row>
    <row r="66" spans="1:7" ht="21" x14ac:dyDescent="0.3">
      <c r="A66" s="45"/>
      <c r="B66" s="45"/>
      <c r="C66" s="44">
        <v>84</v>
      </c>
      <c r="D66" s="44">
        <v>2.9809999999999999</v>
      </c>
      <c r="F66" s="42"/>
      <c r="G66" s="46"/>
    </row>
    <row r="67" spans="1:7" ht="21" x14ac:dyDescent="0.3">
      <c r="A67" s="45"/>
      <c r="B67" s="45"/>
      <c r="C67" s="44">
        <v>85</v>
      </c>
      <c r="D67" s="44">
        <v>3.153</v>
      </c>
      <c r="F67" s="42"/>
      <c r="G67" s="46"/>
    </row>
    <row r="68" spans="1:7" ht="21" x14ac:dyDescent="0.3">
      <c r="A68" s="45"/>
      <c r="B68" s="45"/>
      <c r="C68" s="44">
        <v>86</v>
      </c>
      <c r="D68" s="44">
        <v>3.3519999999999999</v>
      </c>
      <c r="F68" s="42"/>
      <c r="G68" s="46"/>
    </row>
    <row r="69" spans="1:7" ht="21" x14ac:dyDescent="0.3">
      <c r="A69" s="45"/>
      <c r="B69" s="45"/>
      <c r="C69" s="44">
        <v>87</v>
      </c>
      <c r="D69" s="44">
        <v>3.58</v>
      </c>
      <c r="F69" s="42"/>
      <c r="G69" s="46"/>
    </row>
    <row r="70" spans="1:7" ht="21" x14ac:dyDescent="0.3">
      <c r="A70" s="45"/>
      <c r="B70" s="45"/>
      <c r="C70" s="44">
        <v>88</v>
      </c>
      <c r="D70" s="44">
        <v>3.843</v>
      </c>
      <c r="F70" s="42"/>
      <c r="G70" s="46"/>
    </row>
    <row r="71" spans="1:7" ht="21" x14ac:dyDescent="0.3">
      <c r="A71" s="45"/>
      <c r="B71" s="45"/>
      <c r="C71" s="44">
        <v>89</v>
      </c>
      <c r="D71" s="44">
        <v>4.1449999999999996</v>
      </c>
      <c r="F71" s="42"/>
      <c r="G71" s="46"/>
    </row>
    <row r="72" spans="1:7" ht="21" x14ac:dyDescent="0.3">
      <c r="A72" s="45"/>
      <c r="B72" s="45"/>
      <c r="C72" s="44">
        <v>90</v>
      </c>
      <c r="D72" s="44">
        <v>4.4930000000000003</v>
      </c>
      <c r="F72" s="42"/>
      <c r="G72" s="46"/>
    </row>
    <row r="73" spans="1:7" x14ac:dyDescent="0.2">
      <c r="F73" s="42"/>
      <c r="G73" s="46"/>
    </row>
    <row r="74" spans="1:7" x14ac:dyDescent="0.2">
      <c r="F74" s="42"/>
      <c r="G74" s="46"/>
    </row>
    <row r="75" spans="1:7" x14ac:dyDescent="0.2">
      <c r="F75" s="42"/>
      <c r="G75" s="46"/>
    </row>
    <row r="76" spans="1:7" x14ac:dyDescent="0.2">
      <c r="F76" s="42"/>
      <c r="G76" s="46"/>
    </row>
    <row r="77" spans="1:7" x14ac:dyDescent="0.2">
      <c r="F77" s="42"/>
      <c r="G77" s="46"/>
    </row>
    <row r="78" spans="1:7" x14ac:dyDescent="0.2">
      <c r="F78" s="42"/>
      <c r="G78" s="46"/>
    </row>
    <row r="79" spans="1:7" x14ac:dyDescent="0.2">
      <c r="F79" s="42"/>
      <c r="G79" s="46"/>
    </row>
    <row r="80" spans="1:7" x14ac:dyDescent="0.2">
      <c r="F80" s="42"/>
      <c r="G80" s="46"/>
    </row>
    <row r="81" spans="6:7" x14ac:dyDescent="0.2">
      <c r="F81" s="42"/>
      <c r="G81" s="46"/>
    </row>
    <row r="82" spans="6:7" x14ac:dyDescent="0.2">
      <c r="F82" s="42"/>
      <c r="G82" s="46"/>
    </row>
    <row r="83" spans="6:7" x14ac:dyDescent="0.2">
      <c r="F83" s="42"/>
      <c r="G83" s="46"/>
    </row>
    <row r="84" spans="6:7" x14ac:dyDescent="0.2">
      <c r="F84" s="42"/>
      <c r="G84" s="46"/>
    </row>
    <row r="85" spans="6:7" x14ac:dyDescent="0.2">
      <c r="F85" s="42"/>
      <c r="G85" s="46"/>
    </row>
    <row r="86" spans="6:7" x14ac:dyDescent="0.2">
      <c r="F86" s="42"/>
      <c r="G86" s="46"/>
    </row>
    <row r="87" spans="6:7" x14ac:dyDescent="0.2">
      <c r="F87" s="42"/>
      <c r="G87" s="46"/>
    </row>
    <row r="88" spans="6:7" x14ac:dyDescent="0.2">
      <c r="F88" s="42"/>
      <c r="G88" s="46"/>
    </row>
    <row r="89" spans="6:7" x14ac:dyDescent="0.2">
      <c r="F89" s="42"/>
      <c r="G89" s="46"/>
    </row>
    <row r="90" spans="6:7" x14ac:dyDescent="0.2">
      <c r="F90" s="42"/>
      <c r="G90" s="46"/>
    </row>
    <row r="91" spans="6:7" x14ac:dyDescent="0.2">
      <c r="F91" s="42"/>
      <c r="G91" s="46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T34"/>
  <sheetViews>
    <sheetView tabSelected="1" topLeftCell="B1" zoomScaleNormal="100" workbookViewId="0">
      <selection activeCell="K9" sqref="K9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4" width="13" style="1" customWidth="1"/>
    <col min="25" max="25" width="1.7109375" style="1" customWidth="1"/>
    <col min="26" max="26" width="11.42578125" style="1"/>
    <col min="27" max="42" width="11.42578125" style="35" customWidth="1"/>
    <col min="43" max="124" width="11.42578125" style="35"/>
    <col min="125" max="16384" width="11.42578125" style="1"/>
  </cols>
  <sheetData>
    <row r="1" spans="1:124" ht="5.0999999999999996" customHeight="1" thickBot="1" x14ac:dyDescent="0.25"/>
    <row r="2" spans="1:124" s="10" customFormat="1" ht="30" customHeight="1" x14ac:dyDescent="0.2">
      <c r="B2" s="11"/>
      <c r="C2" s="74"/>
      <c r="D2" s="227" t="s">
        <v>48</v>
      </c>
      <c r="E2" s="208"/>
      <c r="F2" s="208"/>
      <c r="G2" s="208"/>
      <c r="H2" s="208"/>
      <c r="I2" s="208"/>
      <c r="J2" s="208"/>
      <c r="K2" s="208"/>
      <c r="L2" s="75"/>
      <c r="M2" s="76"/>
      <c r="N2" s="208" t="s">
        <v>6</v>
      </c>
      <c r="O2" s="208"/>
      <c r="P2" s="208"/>
      <c r="Q2" s="208"/>
      <c r="R2" s="208"/>
      <c r="S2" s="208"/>
      <c r="T2" s="76"/>
      <c r="U2" s="76"/>
      <c r="V2" s="208" t="s">
        <v>15</v>
      </c>
      <c r="W2" s="208"/>
      <c r="X2" s="209"/>
      <c r="Y2" s="11"/>
      <c r="Z2" s="11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</row>
    <row r="3" spans="1:124" s="10" customFormat="1" ht="30" customHeight="1" thickBot="1" x14ac:dyDescent="0.25">
      <c r="B3" s="11"/>
      <c r="C3" s="74"/>
      <c r="D3" s="228" t="s">
        <v>68</v>
      </c>
      <c r="E3" s="229"/>
      <c r="F3" s="229"/>
      <c r="G3" s="229"/>
      <c r="H3" s="229"/>
      <c r="I3" s="229"/>
      <c r="J3" s="229"/>
      <c r="K3" s="229"/>
      <c r="L3" s="77"/>
      <c r="M3" s="77"/>
      <c r="N3" s="229" t="s">
        <v>69</v>
      </c>
      <c r="O3" s="229"/>
      <c r="P3" s="229"/>
      <c r="Q3" s="229"/>
      <c r="R3" s="229"/>
      <c r="S3" s="229"/>
      <c r="T3" s="77"/>
      <c r="U3" s="77"/>
      <c r="V3" s="210">
        <v>43388</v>
      </c>
      <c r="W3" s="210"/>
      <c r="X3" s="211"/>
      <c r="Y3" s="11"/>
      <c r="Z3" s="11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</row>
    <row r="4" spans="1:124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22"/>
      <c r="Y4" s="7"/>
      <c r="Z4" s="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4" s="18" customFormat="1" ht="18" customHeight="1" thickBot="1" x14ac:dyDescent="0.25">
      <c r="A5" s="16"/>
      <c r="B5" s="78" t="s">
        <v>9</v>
      </c>
      <c r="C5" s="79" t="s">
        <v>10</v>
      </c>
      <c r="D5" s="79" t="s">
        <v>7</v>
      </c>
      <c r="E5" s="79" t="s">
        <v>38</v>
      </c>
      <c r="F5" s="230" t="s">
        <v>0</v>
      </c>
      <c r="G5" s="230"/>
      <c r="H5" s="79" t="s">
        <v>12</v>
      </c>
      <c r="I5" s="79" t="s">
        <v>11</v>
      </c>
      <c r="J5" s="80" t="s">
        <v>5</v>
      </c>
      <c r="K5" s="81" t="s">
        <v>1</v>
      </c>
      <c r="L5" s="82">
        <v>1</v>
      </c>
      <c r="M5" s="83">
        <v>2</v>
      </c>
      <c r="N5" s="83">
        <v>3</v>
      </c>
      <c r="O5" s="84" t="s">
        <v>13</v>
      </c>
      <c r="P5" s="82">
        <v>1</v>
      </c>
      <c r="Q5" s="83">
        <v>2</v>
      </c>
      <c r="R5" s="83">
        <v>3</v>
      </c>
      <c r="S5" s="84" t="s">
        <v>14</v>
      </c>
      <c r="T5" s="85" t="s">
        <v>2</v>
      </c>
      <c r="U5" s="86" t="s">
        <v>3</v>
      </c>
      <c r="V5" s="86" t="s">
        <v>8</v>
      </c>
      <c r="W5" s="144" t="s">
        <v>4</v>
      </c>
      <c r="X5" s="87" t="s">
        <v>67</v>
      </c>
      <c r="Y5" s="88"/>
      <c r="Z5" s="17"/>
      <c r="AA5" s="38"/>
      <c r="AB5" s="32" t="s">
        <v>9</v>
      </c>
      <c r="AC5" s="32" t="s">
        <v>31</v>
      </c>
      <c r="AD5" s="32" t="s">
        <v>47</v>
      </c>
      <c r="AE5" s="32" t="s">
        <v>46</v>
      </c>
      <c r="AF5" s="32" t="s">
        <v>45</v>
      </c>
      <c r="AG5" s="32" t="s">
        <v>35</v>
      </c>
      <c r="AH5" s="32" t="s">
        <v>36</v>
      </c>
      <c r="AI5" s="32" t="s">
        <v>37</v>
      </c>
      <c r="AJ5" s="49"/>
      <c r="AK5" s="38"/>
      <c r="AL5" s="50"/>
      <c r="AM5" s="51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</row>
    <row r="6" spans="1:124" s="9" customFormat="1" ht="5.0999999999999996" customHeight="1" thickBot="1" x14ac:dyDescent="0.25">
      <c r="A6" s="8"/>
      <c r="B6" s="89"/>
      <c r="C6" s="90"/>
      <c r="D6" s="91"/>
      <c r="E6" s="91"/>
      <c r="F6" s="92"/>
      <c r="G6" s="93"/>
      <c r="H6" s="94"/>
      <c r="I6" s="95"/>
      <c r="J6" s="96"/>
      <c r="K6" s="97"/>
      <c r="L6" s="98"/>
      <c r="M6" s="98"/>
      <c r="N6" s="98"/>
      <c r="O6" s="99"/>
      <c r="P6" s="98"/>
      <c r="Q6" s="98"/>
      <c r="R6" s="98"/>
      <c r="S6" s="99"/>
      <c r="T6" s="99"/>
      <c r="U6" s="100"/>
      <c r="V6" s="100"/>
      <c r="W6" s="143"/>
      <c r="X6" s="7"/>
      <c r="Y6" s="7"/>
      <c r="Z6" s="7"/>
      <c r="AA6" s="37"/>
      <c r="AB6" s="33" t="s">
        <v>30</v>
      </c>
      <c r="AC6" s="33" t="s">
        <v>31</v>
      </c>
      <c r="AD6" s="33" t="s">
        <v>32</v>
      </c>
      <c r="AE6" s="33" t="s">
        <v>33</v>
      </c>
      <c r="AF6" s="33" t="s">
        <v>34</v>
      </c>
      <c r="AG6" s="33" t="s">
        <v>35</v>
      </c>
      <c r="AH6" s="33" t="s">
        <v>36</v>
      </c>
      <c r="AI6" s="33" t="s">
        <v>37</v>
      </c>
      <c r="AJ6" s="52"/>
      <c r="AK6" s="37"/>
      <c r="AL6" s="47"/>
      <c r="AM6" s="48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</row>
    <row r="7" spans="1:124" s="5" customFormat="1" ht="30" customHeight="1" x14ac:dyDescent="0.2">
      <c r="B7" s="101" t="s">
        <v>70</v>
      </c>
      <c r="C7" s="102">
        <v>407932</v>
      </c>
      <c r="D7" s="103">
        <v>1</v>
      </c>
      <c r="E7" s="104" t="s">
        <v>50</v>
      </c>
      <c r="F7" s="202" t="s">
        <v>39</v>
      </c>
      <c r="G7" s="105" t="s">
        <v>39</v>
      </c>
      <c r="H7" s="203">
        <v>1935</v>
      </c>
      <c r="I7" s="106" t="s">
        <v>71</v>
      </c>
      <c r="J7" s="204" t="s">
        <v>39</v>
      </c>
      <c r="K7" s="107">
        <v>54</v>
      </c>
      <c r="L7" s="108">
        <v>25</v>
      </c>
      <c r="M7" s="110"/>
      <c r="N7" s="110"/>
      <c r="O7" s="109">
        <f>IF(E7="","",IF(MAXA(L7:N7)&lt;=0,0,MAXA(L7:N7)))</f>
        <v>25</v>
      </c>
      <c r="P7" s="108">
        <v>50</v>
      </c>
      <c r="Q7" s="110"/>
      <c r="R7" s="110"/>
      <c r="S7" s="109">
        <f>IF(E7="","",IF(MAXA(P7:R7)&lt;=0,0,MAXA(P7:R7)))</f>
        <v>50</v>
      </c>
      <c r="T7" s="111">
        <f>IF(E7="","",IF(OR(O7=0,S7=0),0,O7+S7))</f>
        <v>75</v>
      </c>
      <c r="U7" s="112" t="str">
        <f>+CONCATENATE(AL7," ",AM7)</f>
        <v>MON + 15</v>
      </c>
      <c r="V7" s="112" t="str">
        <f>IF(E7=0," ",IF(E7="H",AN7,AO7))</f>
        <v>M80 -55</v>
      </c>
      <c r="W7" s="113">
        <f>IF(E7=" "," ",IF(E7="H",10^(0.75194503*LOG(K7/175.508)^2)*T7,IF(E7="F",10^(0.783497476* LOG(K7/153.655)^2)*T7,"")))</f>
        <v>118.06048973322054</v>
      </c>
      <c r="X7" s="145">
        <f>IF(E7="","",W7*VLOOKUP(2019-H7,Masterh!C$17:D$72,2,FALSE))</f>
        <v>351.9383198947304</v>
      </c>
      <c r="Y7" s="114"/>
      <c r="AA7" s="39"/>
      <c r="AB7" s="34">
        <f>IF(E7="H",T7-HLOOKUP(V7,Masterh!$C$1:$CX$9,2,FALSE),T7-HLOOKUP(V7,Masterf!$C$1:$CD$9,2,FALSE))</f>
        <v>75</v>
      </c>
      <c r="AC7" s="34">
        <f>IF(E7="H",T7-HLOOKUP(V7,Masterh!$C$1:$CX$9,3,FALSE),T7-HLOOKUP(V7,Masterf!$C$1:$CD$9,3,FALSE))</f>
        <v>35</v>
      </c>
      <c r="AD7" s="34">
        <f>IF(E7="H",T7-HLOOKUP(V7,Masterh!$C$1:$CX$9,4,FALSE),T7-HLOOKUP(V7,Masterf!$C$1:$CD$9,4,FALSE))</f>
        <v>25</v>
      </c>
      <c r="AE7" s="34">
        <f>IF(E7="H",T7-HLOOKUP(V7,Masterh!$C$1:$CX$9,5,FALSE),T7-HLOOKUP(V7,Masterf!$C$1:$CD$9,5,FALSE))</f>
        <v>21</v>
      </c>
      <c r="AF7" s="34">
        <f>IF(E7="H",T7-HLOOKUP(V7,Masterh!$C$1:$CX$9,6,FALSE),T7-HLOOKUP(V7,Masterf!$C$1:$CD$9,6,FALSE))</f>
        <v>15</v>
      </c>
      <c r="AG7" s="34">
        <f>IF(E7="H",T7-HLOOKUP(V7,Masterh!$C$1:$CX$9,7,FALSE),T7-HLOOKUP(V7,Masterf!$C$1:$CD$9,7,FALSE))</f>
        <v>-925</v>
      </c>
      <c r="AH7" s="34">
        <f>IF(E7="H",T7-HLOOKUP(V7,Masterh!$C$1:$CX$9,8,FALSE),T7-HLOOKUP(V7,Masterf!$C$1:$CD$9,8,FALSE))</f>
        <v>-925</v>
      </c>
      <c r="AI7" s="34">
        <f>IF(E7="H",T7-HLOOKUP(V7,Masterh!$C$1:$CX$9,9,FALSE),T7-HLOOKUP(V7,Masterf!$C$1:$CD$9,9,FALSE))</f>
        <v>-925</v>
      </c>
      <c r="AJ7" s="53" t="str">
        <f t="shared" ref="AJ7" si="0">IF(E7=0," ",IF(AI7&gt;=0,$AI$5,IF(AH7&gt;=0,$AH$5,IF(AG7&gt;=0,$AG$5,IF(AF7&gt;=0,$AF$5,IF(AE7&gt;=0,$AE$5,IF(AD7&gt;=0,$AD$5,IF(AC7&gt;=0,$AC$5,$AB$5))))))))</f>
        <v>MON +</v>
      </c>
      <c r="AK7" s="39"/>
      <c r="AL7" s="54" t="str">
        <f t="shared" ref="AL7" si="1">IF(AJ7="","",AJ7)</f>
        <v>MON +</v>
      </c>
      <c r="AM7" s="55">
        <f t="shared" ref="AM7" si="2">IF(E7=0," ",IF(AI7&gt;=0,AI7,IF(AH7&gt;=0,AH7,IF(AG7&gt;=0,AG7,IF(AF7&gt;=0,AF7,IF(AE7&gt;=0,AE7,IF(AD7&gt;=0,AD7,IF(AC7&gt;=0,AC7,AC7))))))))</f>
        <v>15</v>
      </c>
      <c r="AN7" s="39" t="str">
        <f>IF(AND(H7&lt;1922),VLOOKUP(K7,Masterh!$F$11:$P$29,11),IF(AND(H7&gt;=1922,H7&lt;1940),VLOOKUP(K7,Masterh!$F$11:$P$29,11),IF(AND(H7&gt;=1940,H7&lt;1945),VLOOKUP(K7,Masterh!$F$11:$P$29,10),IF(AND(H7&gt;=1945,H7&lt;1950),VLOOKUP(K7,Masterh!$F$11:$P$29,9),IF(AND(H7&gt;=1950,H7&lt;1955),VLOOKUP(K7,Masterh!$F$11:$P$29,8),IF(AND(H7&gt;=1955,H7&lt;1960),VLOOKUP(K7,Masterh!$F$11:$P$29,7),IF(AND(H7&gt;=1960,H7&lt;1965),VLOOKUP(K7,Masterh!$F$11:$P$29,6),IF(AND(H7&gt;=1965,H7&lt;1970),VLOOKUP(K7,Masterh!$F$11:$P$29,5),IF(AND(H7&gt;=1970,H7&lt;1975),VLOOKUP(K7,Masterh!$F$11:$P$29,4),IF(AND(H7&gt;=1975,H7&lt;1980),VLOOKUP(K7,Masterh!$F$11:$P$29,3),IF(AND(H7&gt;=1980,H7&lt;1985),VLOOKUP(K7,Masterh!$F$11:$P$29,2),"SENIOR")))))))))))</f>
        <v>M80 -55</v>
      </c>
      <c r="AO7" s="39" t="str">
        <f>IF(AND(H7&lt;1950),VLOOKUP(K7,Masterf!$F$11:$N$25,9),IF(AND(H7&gt;=1950,H7&lt;1955),VLOOKUP(K7,Masterf!$F$11:$N$25,8),IF(AND(H7&gt;=1955,H7&lt;1960),VLOOKUP(K7,Masterf!$F$11:$N$25,7),IF(AND(H7&gt;=1960,H7&lt;1965),VLOOKUP(K7,Masterf!$F$11:$N$25,6),IF(AND(H7&gt;=1965,H7&lt;1970),VLOOKUP(K7,Masterf!$F$11:$N$25,5),IF(AND(H7&gt;=1970,H7&lt;1975),VLOOKUP(K7,Masterf!$F$11:$N$25,4),IF(AND(H7&gt;=1975,H7&lt;1980),VLOOKUP(K7,Masterf!$F$11:$N$25,3),IF(AND(H7&gt;=1980,H7&lt;1985),VLOOKUP(K7,Masterf!$F$11:$N$25,2),"SENIOR"))))))))</f>
        <v>W70 -55</v>
      </c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</row>
    <row r="8" spans="1:124" s="5" customFormat="1" ht="30" customHeight="1" x14ac:dyDescent="0.2">
      <c r="B8" s="115"/>
      <c r="C8" s="116"/>
      <c r="D8" s="117"/>
      <c r="E8" s="104" t="s">
        <v>49</v>
      </c>
      <c r="F8" s="205" t="s">
        <v>39</v>
      </c>
      <c r="G8" s="118" t="s">
        <v>39</v>
      </c>
      <c r="H8" s="206">
        <v>1980</v>
      </c>
      <c r="I8" s="119"/>
      <c r="J8" s="207" t="s">
        <v>39</v>
      </c>
      <c r="K8" s="120">
        <v>53</v>
      </c>
      <c r="L8" s="121">
        <v>45</v>
      </c>
      <c r="M8" s="122"/>
      <c r="N8" s="122"/>
      <c r="O8" s="123">
        <f t="shared" ref="O8:O22" si="3">IF(E8="","",IF(MAXA(L8:N8)&lt;=0,0,MAXA(L8:N8)))</f>
        <v>45</v>
      </c>
      <c r="P8" s="121">
        <v>58</v>
      </c>
      <c r="Q8" s="122"/>
      <c r="R8" s="122"/>
      <c r="S8" s="123">
        <f t="shared" ref="S8:S22" si="4">IF(E8="","",IF(MAXA(P8:R8)&lt;=0,0,MAXA(P8:R8)))</f>
        <v>58</v>
      </c>
      <c r="T8" s="124">
        <f>IF(E8="","",IF(OR(O8=0,S8=0),0,O8+S8))</f>
        <v>103</v>
      </c>
      <c r="U8" s="112" t="str">
        <f>+CONCATENATE(AL8," ",AM8)</f>
        <v>EUR + 10</v>
      </c>
      <c r="V8" s="112" t="str">
        <f t="shared" ref="V8:V22" si="5">IF(E8=0," ",IF(E8="H",AN8,AO8))</f>
        <v>W35 -55</v>
      </c>
      <c r="W8" s="113">
        <f t="shared" ref="W8:W22" si="6">IF(E8=" "," ",IF(E8="H",10^(0.75194503*LOG(K8/175.508)^2)*T8,IF(E8="F",10^(0.783497476* LOG(K8/153.655)^2)*T8,"")))</f>
        <v>151.44892093378607</v>
      </c>
      <c r="X8" s="146">
        <f>IF(E8="","",W8*VLOOKUP(2019-H8,Masterh!C$17:D$72,2,FALSE))</f>
        <v>169.925689287708</v>
      </c>
      <c r="Y8" s="114"/>
      <c r="AA8" s="39"/>
      <c r="AB8" s="34">
        <f>IF(E8="H",T8-HLOOKUP(V8,Masterh!$C$1:$CX$9,2,FALSE),T8-HLOOKUP(V8,Masterf!$C$1:$CD$9,2,FALSE))</f>
        <v>103</v>
      </c>
      <c r="AC8" s="34">
        <f>IF(E8="H",T8-HLOOKUP(V8,Masterh!$C$1:$CX$9,3,FALSE),T8-HLOOKUP(V8,Masterf!$C$1:$CD$9,3,FALSE))</f>
        <v>43</v>
      </c>
      <c r="AD8" s="34">
        <f>IF(E8="H",T8-HLOOKUP(V8,Masterh!$C$1:$CX$9,4,FALSE),T8-HLOOKUP(V8,Masterf!$C$1:$CD$9,4,FALSE))</f>
        <v>23</v>
      </c>
      <c r="AE8" s="34">
        <f>IF(E8="H",T8-HLOOKUP(V8,Masterh!$C$1:$CX$9,5,FALSE),T8-HLOOKUP(V8,Masterf!$C$1:$CD$9,5,FALSE))</f>
        <v>10</v>
      </c>
      <c r="AF8" s="34">
        <f>IF(E8="H",T8-HLOOKUP(V8,Masterh!$C$1:$CX$9,6,FALSE),T8-HLOOKUP(V8,Masterf!$C$1:$CD$9,6,FALSE))</f>
        <v>-5</v>
      </c>
      <c r="AG8" s="34">
        <f>IF(E8="H",T8-HLOOKUP(V8,Masterh!$C$1:$CX$9,7,FALSE),T8-HLOOKUP(V8,Masterf!$C$1:$CD$9,7,FALSE))</f>
        <v>-897</v>
      </c>
      <c r="AH8" s="34">
        <f>IF(E8="H",T8-HLOOKUP(V8,Masterh!$C$1:$CX$9,8,FALSE),T8-HLOOKUP(V8,Masterf!$C$1:$CD$9,8,FALSE))</f>
        <v>-897</v>
      </c>
      <c r="AI8" s="34">
        <f>IF(E8="H",T8-HLOOKUP(V8,Masterh!$C$1:$CX$9,9,FALSE),T8-HLOOKUP(V8,Masterf!$C$1:$CD$9,9,FALSE))</f>
        <v>-897</v>
      </c>
      <c r="AJ8" s="53" t="str">
        <f t="shared" ref="AJ8:AJ22" si="7">IF(E8=0," ",IF(AI8&gt;=0,$AI$5,IF(AH8&gt;=0,$AH$5,IF(AG8&gt;=0,$AG$5,IF(AF8&gt;=0,$AF$5,IF(AE8&gt;=0,$AE$5,IF(AD8&gt;=0,$AD$5,IF(AC8&gt;=0,$AC$5,$AB$5))))))))</f>
        <v>EUR +</v>
      </c>
      <c r="AK8" s="39"/>
      <c r="AL8" s="54" t="str">
        <f t="shared" ref="AL8:AL22" si="8">IF(AJ8="","",AJ8)</f>
        <v>EUR +</v>
      </c>
      <c r="AM8" s="55">
        <f t="shared" ref="AM8:AM22" si="9">IF(E8=0," ",IF(AI8&gt;=0,AI8,IF(AH8&gt;=0,AH8,IF(AG8&gt;=0,AG8,IF(AF8&gt;=0,AF8,IF(AE8&gt;=0,AE8,IF(AD8&gt;=0,AD8,IF(AC8&gt;=0,AC8,AC8))))))))</f>
        <v>10</v>
      </c>
      <c r="AN8" s="39" t="str">
        <f>IF(AND(H8&lt;1922),VLOOKUP(K8,Masterh!$F$11:$P$29,11),IF(AND(H8&gt;=1922,H8&lt;1940),VLOOKUP(K8,Masterh!$F$11:$P$29,11),IF(AND(H8&gt;=1940,H8&lt;1945),VLOOKUP(K8,Masterh!$F$11:$P$29,10),IF(AND(H8&gt;=1945,H8&lt;1950),VLOOKUP(K8,Masterh!$F$11:$P$29,9),IF(AND(H8&gt;=1950,H8&lt;1955),VLOOKUP(K8,Masterh!$F$11:$P$29,8),IF(AND(H8&gt;=1955,H8&lt;1960),VLOOKUP(K8,Masterh!$F$11:$P$29,7),IF(AND(H8&gt;=1960,H8&lt;1965),VLOOKUP(K8,Masterh!$F$11:$P$29,6),IF(AND(H8&gt;=1965,H8&lt;1970),VLOOKUP(K8,Masterh!$F$11:$P$29,5),IF(AND(H8&gt;=1970,H8&lt;1975),VLOOKUP(K8,Masterh!$F$11:$P$29,4),IF(AND(H8&gt;=1975,H8&lt;1980),VLOOKUP(K8,Masterh!$F$11:$P$29,3),IF(AND(H8&gt;=1980,H8&lt;1985),VLOOKUP(K8,Masterh!$F$11:$P$29,2),"SENIOR")))))))))))</f>
        <v>M35 -55</v>
      </c>
      <c r="AO8" s="39" t="str">
        <f>IF(AND(H8&lt;1950),VLOOKUP(K8,Masterf!$F$11:$N$25,9),IF(AND(H8&gt;=1950,H8&lt;1955),VLOOKUP(K8,Masterf!$F$11:$N$25,8),IF(AND(H8&gt;=1955,H8&lt;1960),VLOOKUP(K8,Masterf!$F$11:$N$25,7),IF(AND(H8&gt;=1960,H8&lt;1965),VLOOKUP(K8,Masterf!$F$11:$N$25,6),IF(AND(H8&gt;=1965,H8&lt;1970),VLOOKUP(K8,Masterf!$F$11:$N$25,5),IF(AND(H8&gt;=1970,H8&lt;1975),VLOOKUP(K8,Masterf!$F$11:$N$25,4),IF(AND(H8&gt;=1975,H8&lt;1980),VLOOKUP(K8,Masterf!$F$11:$N$25,3),IF(AND(H8&gt;=1980,H8&lt;1985),VLOOKUP(K8,Masterf!$F$11:$N$25,2),"SENIOR"))))))))</f>
        <v>W35 -55</v>
      </c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</row>
    <row r="9" spans="1:124" s="5" customFormat="1" ht="30" customHeight="1" x14ac:dyDescent="0.2">
      <c r="B9" s="115"/>
      <c r="C9" s="116"/>
      <c r="D9" s="117"/>
      <c r="E9" s="104" t="s">
        <v>50</v>
      </c>
      <c r="F9" s="205" t="s">
        <v>39</v>
      </c>
      <c r="G9" s="118" t="s">
        <v>39</v>
      </c>
      <c r="H9" s="206">
        <v>1975</v>
      </c>
      <c r="I9" s="119"/>
      <c r="J9" s="207"/>
      <c r="K9" s="120">
        <v>55</v>
      </c>
      <c r="L9" s="121">
        <v>80</v>
      </c>
      <c r="M9" s="122"/>
      <c r="N9" s="122"/>
      <c r="O9" s="123">
        <f t="shared" si="3"/>
        <v>80</v>
      </c>
      <c r="P9" s="121">
        <v>100</v>
      </c>
      <c r="Q9" s="122"/>
      <c r="R9" s="122"/>
      <c r="S9" s="123">
        <f t="shared" si="4"/>
        <v>100</v>
      </c>
      <c r="T9" s="124">
        <f>IF(E9="","",IF(OR(O9=0,S9=0),0,O9+S9))</f>
        <v>180</v>
      </c>
      <c r="U9" s="112" t="str">
        <f t="shared" ref="U9:U22" si="10">+CONCATENATE(AL9," ",AM9)</f>
        <v>MON + 19</v>
      </c>
      <c r="V9" s="112" t="str">
        <f t="shared" si="5"/>
        <v>M40 -55</v>
      </c>
      <c r="W9" s="113">
        <f t="shared" si="6"/>
        <v>279.40149419829993</v>
      </c>
      <c r="X9" s="146">
        <f>IF(E9="","",W9*VLOOKUP(2019-H9,Masterh!C$17:D$72,2,FALSE))</f>
        <v>332.20837660177864</v>
      </c>
      <c r="Y9" s="114"/>
      <c r="AA9" s="39"/>
      <c r="AB9" s="34">
        <f>IF(E9="H",T9-HLOOKUP(V9,Masterh!$C$1:$CX$9,2,FALSE),T9-HLOOKUP(V9,Masterf!$C$1:$CD$9,2,FALSE))</f>
        <v>180</v>
      </c>
      <c r="AC9" s="34">
        <f>IF(E9="H",T9-HLOOKUP(V9,Masterh!$C$1:$CX$9,3,FALSE),T9-HLOOKUP(V9,Masterf!$C$1:$CD$9,3,FALSE))</f>
        <v>70</v>
      </c>
      <c r="AD9" s="34">
        <f>IF(E9="H",T9-HLOOKUP(V9,Masterh!$C$1:$CX$9,4,FALSE),T9-HLOOKUP(V9,Masterf!$C$1:$CD$9,4,FALSE))</f>
        <v>48</v>
      </c>
      <c r="AE9" s="34">
        <f>IF(E9="H",T9-HLOOKUP(V9,Masterh!$C$1:$CX$9,5,FALSE),T9-HLOOKUP(V9,Masterf!$C$1:$CD$9,5,FALSE))</f>
        <v>36</v>
      </c>
      <c r="AF9" s="34">
        <f>IF(E9="H",T9-HLOOKUP(V9,Masterh!$C$1:$CX$9,6,FALSE),T9-HLOOKUP(V9,Masterf!$C$1:$CD$9,6,FALSE))</f>
        <v>19</v>
      </c>
      <c r="AG9" s="34">
        <f>IF(E9="H",T9-HLOOKUP(V9,Masterh!$C$1:$CX$9,7,FALSE),T9-HLOOKUP(V9,Masterf!$C$1:$CD$9,7,FALSE))</f>
        <v>-820</v>
      </c>
      <c r="AH9" s="34">
        <f>IF(E9="H",T9-HLOOKUP(V9,Masterh!$C$1:$CX$9,8,FALSE),T9-HLOOKUP(V9,Masterf!$C$1:$CD$9,8,FALSE))</f>
        <v>-820</v>
      </c>
      <c r="AI9" s="34">
        <f>IF(E9="H",T9-HLOOKUP(V9,Masterh!$C$1:$CX$9,9,FALSE),T9-HLOOKUP(V9,Masterf!$C$1:$CD$9,9,FALSE))</f>
        <v>-820</v>
      </c>
      <c r="AJ9" s="53" t="str">
        <f t="shared" si="7"/>
        <v>MON +</v>
      </c>
      <c r="AK9" s="39"/>
      <c r="AL9" s="54" t="str">
        <f t="shared" si="8"/>
        <v>MON +</v>
      </c>
      <c r="AM9" s="55">
        <f t="shared" si="9"/>
        <v>19</v>
      </c>
      <c r="AN9" s="39" t="str">
        <f>IF(AND(H9&lt;1922),VLOOKUP(K9,Masterh!$F$11:$P$29,11),IF(AND(H9&gt;=1922,H9&lt;1940),VLOOKUP(K9,Masterh!$F$11:$P$29,11),IF(AND(H9&gt;=1940,H9&lt;1945),VLOOKUP(K9,Masterh!$F$11:$P$29,10),IF(AND(H9&gt;=1945,H9&lt;1950),VLOOKUP(K9,Masterh!$F$11:$P$29,9),IF(AND(H9&gt;=1950,H9&lt;1955),VLOOKUP(K9,Masterh!$F$11:$P$29,8),IF(AND(H9&gt;=1955,H9&lt;1960),VLOOKUP(K9,Masterh!$F$11:$P$29,7),IF(AND(H9&gt;=1960,H9&lt;1965),VLOOKUP(K9,Masterh!$F$11:$P$29,6),IF(AND(H9&gt;=1965,H9&lt;1970),VLOOKUP(K9,Masterh!$F$11:$P$29,5),IF(AND(H9&gt;=1970,H9&lt;1975),VLOOKUP(K9,Masterh!$F$11:$P$29,4),IF(AND(H9&gt;=1975,H9&lt;1980),VLOOKUP(K9,Masterh!$F$11:$P$29,3),IF(AND(H9&gt;=1980,H9&lt;1985),VLOOKUP(K9,Masterh!$F$11:$P$29,2),"SENIOR")))))))))))</f>
        <v>M40 -55</v>
      </c>
      <c r="AO9" s="39" t="str">
        <f>IF(AND(H9&lt;1950),VLOOKUP(K9,Masterf!$F$11:$N$25,9),IF(AND(H9&gt;=1950,H9&lt;1955),VLOOKUP(K9,Masterf!$F$11:$N$25,8),IF(AND(H9&gt;=1955,H9&lt;1960),VLOOKUP(K9,Masterf!$F$11:$N$25,7),IF(AND(H9&gt;=1960,H9&lt;1965),VLOOKUP(K9,Masterf!$F$11:$N$25,6),IF(AND(H9&gt;=1965,H9&lt;1970),VLOOKUP(K9,Masterf!$F$11:$N$25,5),IF(AND(H9&gt;=1970,H9&lt;1975),VLOOKUP(K9,Masterf!$F$11:$N$25,4),IF(AND(H9&gt;=1975,H9&lt;1980),VLOOKUP(K9,Masterf!$F$11:$N$25,3),IF(AND(H9&gt;=1980,H9&lt;1985),VLOOKUP(K9,Masterf!$F$11:$N$25,2),"SENIOR"))))))))</f>
        <v>W40 -55</v>
      </c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</row>
    <row r="10" spans="1:124" s="5" customFormat="1" ht="30" customHeight="1" x14ac:dyDescent="0.2">
      <c r="B10" s="115"/>
      <c r="C10" s="116"/>
      <c r="D10" s="117"/>
      <c r="E10" s="104" t="s">
        <v>50</v>
      </c>
      <c r="F10" s="205" t="s">
        <v>39</v>
      </c>
      <c r="G10" s="118" t="s">
        <v>39</v>
      </c>
      <c r="H10" s="206">
        <v>1975</v>
      </c>
      <c r="I10" s="119"/>
      <c r="J10" s="207"/>
      <c r="K10" s="120">
        <v>67</v>
      </c>
      <c r="L10" s="121">
        <v>50</v>
      </c>
      <c r="M10" s="122"/>
      <c r="N10" s="122"/>
      <c r="O10" s="123">
        <f t="shared" si="3"/>
        <v>50</v>
      </c>
      <c r="P10" s="121">
        <v>80</v>
      </c>
      <c r="Q10" s="122"/>
      <c r="R10" s="122"/>
      <c r="S10" s="123">
        <f t="shared" si="4"/>
        <v>80</v>
      </c>
      <c r="T10" s="124">
        <f t="shared" ref="T10:T22" si="11">IF(E10="","",IF(OR(O10=0,S10=0),0,O10+S10))</f>
        <v>130</v>
      </c>
      <c r="U10" s="112" t="str">
        <f t="shared" si="10"/>
        <v>REG -10</v>
      </c>
      <c r="V10" s="112" t="str">
        <f t="shared" si="5"/>
        <v>M40 -67</v>
      </c>
      <c r="W10" s="113">
        <f t="shared" si="6"/>
        <v>175.98103184815903</v>
      </c>
      <c r="X10" s="146">
        <f>IF(E10="","",W10*VLOOKUP(2019-H10,Masterh!C$17:D$72,2,FALSE))</f>
        <v>209.24144686746109</v>
      </c>
      <c r="Y10" s="114"/>
      <c r="AA10" s="39"/>
      <c r="AB10" s="34">
        <f>IF(E10="H",T10-HLOOKUP(V10,Masterh!$C$1:$CX$9,2,FALSE),T10-HLOOKUP(V10,Masterf!$C$1:$CD$9,2,FALSE))</f>
        <v>130</v>
      </c>
      <c r="AC10" s="34">
        <f>IF(E10="H",T10-HLOOKUP(V10,Masterh!$C$1:$CX$9,3,FALSE),T10-HLOOKUP(V10,Masterf!$C$1:$CD$9,3,FALSE))</f>
        <v>-10</v>
      </c>
      <c r="AD10" s="34">
        <f>IF(E10="H",T10-HLOOKUP(V10,Masterh!$C$1:$CX$9,4,FALSE),T10-HLOOKUP(V10,Masterf!$C$1:$CD$9,4,FALSE))</f>
        <v>-30</v>
      </c>
      <c r="AE10" s="34">
        <f>IF(E10="H",T10-HLOOKUP(V10,Masterh!$C$1:$CX$9,5,FALSE),T10-HLOOKUP(V10,Masterf!$C$1:$CD$9,5,FALSE))</f>
        <v>-36</v>
      </c>
      <c r="AF10" s="34">
        <f>IF(E10="H",T10-HLOOKUP(V10,Masterh!$C$1:$CX$9,6,FALSE),T10-HLOOKUP(V10,Masterf!$C$1:$CD$9,6,FALSE))</f>
        <v>-54</v>
      </c>
      <c r="AG10" s="34">
        <f>IF(E10="H",T10-HLOOKUP(V10,Masterh!$C$1:$CX$9,7,FALSE),T10-HLOOKUP(V10,Masterf!$C$1:$CD$9,7,FALSE))</f>
        <v>-870</v>
      </c>
      <c r="AH10" s="34">
        <f>IF(E10="H",T10-HLOOKUP(V10,Masterh!$C$1:$CX$9,8,FALSE),T10-HLOOKUP(V10,Masterf!$C$1:$CD$9,8,FALSE))</f>
        <v>-870</v>
      </c>
      <c r="AI10" s="34">
        <f>IF(E10="H",T10-HLOOKUP(V10,Masterh!$C$1:$CX$9,9,FALSE),T10-HLOOKUP(V10,Masterf!$C$1:$CD$9,9,FALSE))</f>
        <v>-870</v>
      </c>
      <c r="AJ10" s="53" t="str">
        <f t="shared" si="7"/>
        <v>REG</v>
      </c>
      <c r="AK10" s="39"/>
      <c r="AL10" s="54" t="str">
        <f t="shared" si="8"/>
        <v>REG</v>
      </c>
      <c r="AM10" s="55">
        <f t="shared" si="9"/>
        <v>-10</v>
      </c>
      <c r="AN10" s="39" t="str">
        <f>IF(AND(H10&lt;1922),VLOOKUP(K10,Masterh!$F$11:$P$29,11),IF(AND(H10&gt;=1922,H10&lt;1940),VLOOKUP(K10,Masterh!$F$11:$P$29,11),IF(AND(H10&gt;=1940,H10&lt;1945),VLOOKUP(K10,Masterh!$F$11:$P$29,10),IF(AND(H10&gt;=1945,H10&lt;1950),VLOOKUP(K10,Masterh!$F$11:$P$29,9),IF(AND(H10&gt;=1950,H10&lt;1955),VLOOKUP(K10,Masterh!$F$11:$P$29,8),IF(AND(H10&gt;=1955,H10&lt;1960),VLOOKUP(K10,Masterh!$F$11:$P$29,7),IF(AND(H10&gt;=1960,H10&lt;1965),VLOOKUP(K10,Masterh!$F$11:$P$29,6),IF(AND(H10&gt;=1965,H10&lt;1970),VLOOKUP(K10,Masterh!$F$11:$P$29,5),IF(AND(H10&gt;=1970,H10&lt;1975),VLOOKUP(K10,Masterh!$F$11:$P$29,4),IF(AND(H10&gt;=1975,H10&lt;1980),VLOOKUP(K10,Masterh!$F$11:$P$29,3),IF(AND(H10&gt;=1980,H10&lt;1985),VLOOKUP(K10,Masterh!$F$11:$P$29,2),"SENIOR")))))))))))</f>
        <v>M40 -67</v>
      </c>
      <c r="AO10" s="39" t="str">
        <f>IF(AND(H10&lt;1950),VLOOKUP(K10,Masterf!$F$11:$N$25,9),IF(AND(H10&gt;=1950,H10&lt;1955),VLOOKUP(K10,Masterf!$F$11:$N$25,8),IF(AND(H10&gt;=1955,H10&lt;1960),VLOOKUP(K10,Masterf!$F$11:$N$25,7),IF(AND(H10&gt;=1960,H10&lt;1965),VLOOKUP(K10,Masterf!$F$11:$N$25,6),IF(AND(H10&gt;=1965,H10&lt;1970),VLOOKUP(K10,Masterf!$F$11:$N$25,5),IF(AND(H10&gt;=1970,H10&lt;1975),VLOOKUP(K10,Masterf!$F$11:$N$25,4),IF(AND(H10&gt;=1975,H10&lt;1980),VLOOKUP(K10,Masterf!$F$11:$N$25,3),IF(AND(H10&gt;=1980,H10&lt;1985),VLOOKUP(K10,Masterf!$F$11:$N$25,2),"SENIOR"))))))))</f>
        <v>W40 -71</v>
      </c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</row>
    <row r="11" spans="1:124" s="5" customFormat="1" ht="30" customHeight="1" x14ac:dyDescent="0.2">
      <c r="B11" s="115"/>
      <c r="C11" s="116"/>
      <c r="D11" s="117"/>
      <c r="E11" s="104" t="s">
        <v>50</v>
      </c>
      <c r="F11" s="205" t="s">
        <v>39</v>
      </c>
      <c r="G11" s="118" t="s">
        <v>39</v>
      </c>
      <c r="H11" s="206">
        <v>1974</v>
      </c>
      <c r="I11" s="119"/>
      <c r="J11" s="207"/>
      <c r="K11" s="120">
        <v>75</v>
      </c>
      <c r="L11" s="121">
        <v>100</v>
      </c>
      <c r="M11" s="122"/>
      <c r="N11" s="122"/>
      <c r="O11" s="123">
        <f t="shared" si="3"/>
        <v>100</v>
      </c>
      <c r="P11" s="121">
        <v>130</v>
      </c>
      <c r="Q11" s="122"/>
      <c r="R11" s="122"/>
      <c r="S11" s="123">
        <f t="shared" si="4"/>
        <v>130</v>
      </c>
      <c r="T11" s="124">
        <f t="shared" si="11"/>
        <v>230</v>
      </c>
      <c r="U11" s="112" t="str">
        <f t="shared" si="10"/>
        <v>MON + 40</v>
      </c>
      <c r="V11" s="112" t="str">
        <f t="shared" si="5"/>
        <v>M45 -81</v>
      </c>
      <c r="W11" s="113">
        <f t="shared" si="6"/>
        <v>291.23545018338558</v>
      </c>
      <c r="X11" s="146">
        <f>IF(E11="","",W11*VLOOKUP(2019-H11,Masterh!C$17:D$72,2,FALSE))</f>
        <v>350.35624657061288</v>
      </c>
      <c r="Y11" s="114"/>
      <c r="AA11" s="39"/>
      <c r="AB11" s="34">
        <f>IF(E11="H",T11-HLOOKUP(V11,Masterh!$C$1:$CX$9,2,FALSE),T11-HLOOKUP(V11,Masterf!$C$1:$CD$9,2,FALSE))</f>
        <v>230</v>
      </c>
      <c r="AC11" s="34">
        <f>IF(E11="H",T11-HLOOKUP(V11,Masterh!$C$1:$CX$9,3,FALSE),T11-HLOOKUP(V11,Masterf!$C$1:$CD$9,3,FALSE))</f>
        <v>80</v>
      </c>
      <c r="AD11" s="34">
        <f>IF(E11="H",T11-HLOOKUP(V11,Masterh!$C$1:$CX$9,4,FALSE),T11-HLOOKUP(V11,Masterf!$C$1:$CD$9,4,FALSE))</f>
        <v>60</v>
      </c>
      <c r="AE11" s="34">
        <f>IF(E11="H",T11-HLOOKUP(V11,Masterh!$C$1:$CX$9,5,FALSE),T11-HLOOKUP(V11,Masterf!$C$1:$CD$9,5,FALSE))</f>
        <v>55</v>
      </c>
      <c r="AF11" s="34">
        <f>IF(E11="H",T11-HLOOKUP(V11,Masterh!$C$1:$CX$9,6,FALSE),T11-HLOOKUP(V11,Masterf!$C$1:$CD$9,6,FALSE))</f>
        <v>40</v>
      </c>
      <c r="AG11" s="34">
        <f>IF(E11="H",T11-HLOOKUP(V11,Masterh!$C$1:$CX$9,7,FALSE),T11-HLOOKUP(V11,Masterf!$C$1:$CD$9,7,FALSE))</f>
        <v>-770</v>
      </c>
      <c r="AH11" s="34">
        <f>IF(E11="H",T11-HLOOKUP(V11,Masterh!$C$1:$CX$9,8,FALSE),T11-HLOOKUP(V11,Masterf!$C$1:$CD$9,8,FALSE))</f>
        <v>-770</v>
      </c>
      <c r="AI11" s="34">
        <f>IF(E11="H",T11-HLOOKUP(V11,Masterh!$C$1:$CX$9,9,FALSE),T11-HLOOKUP(V11,Masterf!$C$1:$CD$9,9,FALSE))</f>
        <v>-770</v>
      </c>
      <c r="AJ11" s="53" t="str">
        <f t="shared" si="7"/>
        <v>MON +</v>
      </c>
      <c r="AK11" s="39"/>
      <c r="AL11" s="54" t="str">
        <f t="shared" si="8"/>
        <v>MON +</v>
      </c>
      <c r="AM11" s="55">
        <f t="shared" si="9"/>
        <v>40</v>
      </c>
      <c r="AN11" s="39" t="str">
        <f>IF(AND(H11&lt;1922),VLOOKUP(K11,Masterh!$F$11:$P$29,11),IF(AND(H11&gt;=1922,H11&lt;1940),VLOOKUP(K11,Masterh!$F$11:$P$29,11),IF(AND(H11&gt;=1940,H11&lt;1945),VLOOKUP(K11,Masterh!$F$11:$P$29,10),IF(AND(H11&gt;=1945,H11&lt;1950),VLOOKUP(K11,Masterh!$F$11:$P$29,9),IF(AND(H11&gt;=1950,H11&lt;1955),VLOOKUP(K11,Masterh!$F$11:$P$29,8),IF(AND(H11&gt;=1955,H11&lt;1960),VLOOKUP(K11,Masterh!$F$11:$P$29,7),IF(AND(H11&gt;=1960,H11&lt;1965),VLOOKUP(K11,Masterh!$F$11:$P$29,6),IF(AND(H11&gt;=1965,H11&lt;1970),VLOOKUP(K11,Masterh!$F$11:$P$29,5),IF(AND(H11&gt;=1970,H11&lt;1975),VLOOKUP(K11,Masterh!$F$11:$P$29,4),IF(AND(H11&gt;=1975,H11&lt;1980),VLOOKUP(K11,Masterh!$F$11:$P$29,3),IF(AND(H11&gt;=1980,H11&lt;1985),VLOOKUP(K11,Masterh!$F$11:$P$29,2),"SENIOR")))))))))))</f>
        <v>M45 -81</v>
      </c>
      <c r="AO11" s="39" t="str">
        <f>IF(AND(H11&lt;1950),VLOOKUP(K11,Masterf!$F$11:$N$25,9),IF(AND(H11&gt;=1950,H11&lt;1955),VLOOKUP(K11,Masterf!$F$11:$N$25,8),IF(AND(H11&gt;=1955,H11&lt;1960),VLOOKUP(K11,Masterf!$F$11:$N$25,7),IF(AND(H11&gt;=1960,H11&lt;1965),VLOOKUP(K11,Masterf!$F$11:$N$25,6),IF(AND(H11&gt;=1965,H11&lt;1970),VLOOKUP(K11,Masterf!$F$11:$N$25,5),IF(AND(H11&gt;=1970,H11&lt;1975),VLOOKUP(K11,Masterf!$F$11:$N$25,4),IF(AND(H11&gt;=1975,H11&lt;1980),VLOOKUP(K11,Masterf!$F$11:$N$25,3),IF(AND(H11&gt;=1980,H11&lt;1985),VLOOKUP(K11,Masterf!$F$11:$N$25,2),"SENIOR"))))))))</f>
        <v>W45 -76</v>
      </c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</row>
    <row r="12" spans="1:124" s="5" customFormat="1" ht="30" customHeight="1" x14ac:dyDescent="0.2">
      <c r="B12" s="115"/>
      <c r="C12" s="116"/>
      <c r="D12" s="117"/>
      <c r="E12" s="104" t="s">
        <v>50</v>
      </c>
      <c r="F12" s="205" t="s">
        <v>39</v>
      </c>
      <c r="G12" s="118" t="s">
        <v>39</v>
      </c>
      <c r="H12" s="206">
        <v>1965</v>
      </c>
      <c r="I12" s="119"/>
      <c r="J12" s="207" t="s">
        <v>39</v>
      </c>
      <c r="K12" s="120">
        <v>75</v>
      </c>
      <c r="L12" s="121"/>
      <c r="M12" s="122"/>
      <c r="N12" s="122"/>
      <c r="O12" s="123">
        <f t="shared" si="3"/>
        <v>0</v>
      </c>
      <c r="P12" s="121"/>
      <c r="Q12" s="122"/>
      <c r="R12" s="122"/>
      <c r="S12" s="123">
        <f t="shared" si="4"/>
        <v>0</v>
      </c>
      <c r="T12" s="124">
        <f t="shared" si="11"/>
        <v>0</v>
      </c>
      <c r="U12" s="112" t="str">
        <f t="shared" si="10"/>
        <v>REG -135</v>
      </c>
      <c r="V12" s="112" t="str">
        <f t="shared" si="5"/>
        <v>M50 -81</v>
      </c>
      <c r="W12" s="113">
        <f t="shared" si="6"/>
        <v>0</v>
      </c>
      <c r="X12" s="146">
        <f>IF(E12="","",W12*VLOOKUP(2019-H12,Masterh!C$17:D$72,2,FALSE))</f>
        <v>0</v>
      </c>
      <c r="Y12" s="114"/>
      <c r="AA12" s="39"/>
      <c r="AB12" s="34">
        <f>IF(E12="H",T12-HLOOKUP(V12,Masterh!$C$1:$CX$9,2,FALSE),T12-HLOOKUP(V12,Masterf!$C$1:$CD$9,2,FALSE))</f>
        <v>0</v>
      </c>
      <c r="AC12" s="34">
        <f>IF(E12="H",T12-HLOOKUP(V12,Masterh!$C$1:$CX$9,3,FALSE),T12-HLOOKUP(V12,Masterf!$C$1:$CD$9,3,FALSE))</f>
        <v>-135</v>
      </c>
      <c r="AD12" s="34">
        <f>IF(E12="H",T12-HLOOKUP(V12,Masterh!$C$1:$CX$9,4,FALSE),T12-HLOOKUP(V12,Masterf!$C$1:$CD$9,4,FALSE))</f>
        <v>-157</v>
      </c>
      <c r="AE12" s="34">
        <f>IF(E12="H",T12-HLOOKUP(V12,Masterh!$C$1:$CX$9,5,FALSE),T12-HLOOKUP(V12,Masterf!$C$1:$CD$9,5,FALSE))</f>
        <v>-164</v>
      </c>
      <c r="AF12" s="34">
        <f>IF(E12="H",T12-HLOOKUP(V12,Masterh!$C$1:$CX$9,6,FALSE),T12-HLOOKUP(V12,Masterf!$C$1:$CD$9,6,FALSE))</f>
        <v>-175</v>
      </c>
      <c r="AG12" s="34">
        <f>IF(E12="H",T12-HLOOKUP(V12,Masterh!$C$1:$CX$9,7,FALSE),T12-HLOOKUP(V12,Masterf!$C$1:$CD$9,7,FALSE))</f>
        <v>-1000</v>
      </c>
      <c r="AH12" s="34">
        <f>IF(E12="H",T12-HLOOKUP(V12,Masterh!$C$1:$CX$9,8,FALSE),T12-HLOOKUP(V12,Masterf!$C$1:$CD$9,8,FALSE))</f>
        <v>-1000</v>
      </c>
      <c r="AI12" s="34">
        <f>IF(E12="H",T12-HLOOKUP(V12,Masterh!$C$1:$CX$9,9,FALSE),T12-HLOOKUP(V12,Masterf!$C$1:$CD$9,9,FALSE))</f>
        <v>-1000</v>
      </c>
      <c r="AJ12" s="53" t="str">
        <f t="shared" si="7"/>
        <v>REG</v>
      </c>
      <c r="AK12" s="39"/>
      <c r="AL12" s="54" t="str">
        <f t="shared" si="8"/>
        <v>REG</v>
      </c>
      <c r="AM12" s="55">
        <f t="shared" si="9"/>
        <v>-135</v>
      </c>
      <c r="AN12" s="39" t="str">
        <f>IF(AND(H12&lt;1922),VLOOKUP(K12,Masterh!$F$11:$P$29,11),IF(AND(H12&gt;=1922,H12&lt;1940),VLOOKUP(K12,Masterh!$F$11:$P$29,11),IF(AND(H12&gt;=1940,H12&lt;1945),VLOOKUP(K12,Masterh!$F$11:$P$29,10),IF(AND(H12&gt;=1945,H12&lt;1950),VLOOKUP(K12,Masterh!$F$11:$P$29,9),IF(AND(H12&gt;=1950,H12&lt;1955),VLOOKUP(K12,Masterh!$F$11:$P$29,8),IF(AND(H12&gt;=1955,H12&lt;1960),VLOOKUP(K12,Masterh!$F$11:$P$29,7),IF(AND(H12&gt;=1960,H12&lt;1965),VLOOKUP(K12,Masterh!$F$11:$P$29,6),IF(AND(H12&gt;=1965,H12&lt;1970),VLOOKUP(K12,Masterh!$F$11:$P$29,5),IF(AND(H12&gt;=1970,H12&lt;1975),VLOOKUP(K12,Masterh!$F$11:$P$29,4),IF(AND(H12&gt;=1975,H12&lt;1980),VLOOKUP(K12,Masterh!$F$11:$P$29,3),IF(AND(H12&gt;=1980,H12&lt;1985),VLOOKUP(K12,Masterh!$F$11:$P$29,2),"SENIOR")))))))))))</f>
        <v>M50 -81</v>
      </c>
      <c r="AO12" s="39" t="str">
        <f>IF(AND(H12&lt;1950),VLOOKUP(K12,Masterf!$F$11:$N$25,9),IF(AND(H12&gt;=1950,H12&lt;1955),VLOOKUP(K12,Masterf!$F$11:$N$25,8),IF(AND(H12&gt;=1955,H12&lt;1960),VLOOKUP(K12,Masterf!$F$11:$N$25,7),IF(AND(H12&gt;=1960,H12&lt;1965),VLOOKUP(K12,Masterf!$F$11:$N$25,6),IF(AND(H12&gt;=1965,H12&lt;1970),VLOOKUP(K12,Masterf!$F$11:$N$25,5),IF(AND(H12&gt;=1970,H12&lt;1975),VLOOKUP(K12,Masterf!$F$11:$N$25,4),IF(AND(H12&gt;=1975,H12&lt;1980),VLOOKUP(K12,Masterf!$F$11:$N$25,3),IF(AND(H12&gt;=1980,H12&lt;1985),VLOOKUP(K12,Masterf!$F$11:$N$25,2),"SENIOR"))))))))</f>
        <v>W50 -76</v>
      </c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</row>
    <row r="13" spans="1:124" s="5" customFormat="1" ht="30" customHeight="1" x14ac:dyDescent="0.2">
      <c r="B13" s="115"/>
      <c r="C13" s="116"/>
      <c r="D13" s="117"/>
      <c r="E13" s="104" t="s">
        <v>50</v>
      </c>
      <c r="F13" s="205" t="s">
        <v>39</v>
      </c>
      <c r="G13" s="118" t="s">
        <v>39</v>
      </c>
      <c r="H13" s="206">
        <v>1935</v>
      </c>
      <c r="I13" s="119"/>
      <c r="J13" s="207" t="s">
        <v>39</v>
      </c>
      <c r="K13" s="120">
        <v>75</v>
      </c>
      <c r="L13" s="121"/>
      <c r="M13" s="122"/>
      <c r="N13" s="122"/>
      <c r="O13" s="123">
        <f t="shared" si="3"/>
        <v>0</v>
      </c>
      <c r="P13" s="121"/>
      <c r="Q13" s="122"/>
      <c r="R13" s="122"/>
      <c r="S13" s="123">
        <f t="shared" si="4"/>
        <v>0</v>
      </c>
      <c r="T13" s="124">
        <f t="shared" si="11"/>
        <v>0</v>
      </c>
      <c r="U13" s="112" t="str">
        <f t="shared" si="10"/>
        <v>REG -52</v>
      </c>
      <c r="V13" s="112" t="str">
        <f t="shared" si="5"/>
        <v>M80 -81</v>
      </c>
      <c r="W13" s="113">
        <f t="shared" si="6"/>
        <v>0</v>
      </c>
      <c r="X13" s="146">
        <f>IF(E13="","",W13*VLOOKUP(2019-H13,Masterh!C$17:D$72,2,FALSE))</f>
        <v>0</v>
      </c>
      <c r="Y13" s="114"/>
      <c r="AA13" s="39"/>
      <c r="AB13" s="34">
        <f>IF(E13="H",T13-HLOOKUP(V13,Masterh!$C$1:$CX$9,2,FALSE),T13-HLOOKUP(V13,Masterf!$C$1:$CD$9,2,FALSE))</f>
        <v>0</v>
      </c>
      <c r="AC13" s="34">
        <f>IF(E13="H",T13-HLOOKUP(V13,Masterh!$C$1:$CX$9,3,FALSE),T13-HLOOKUP(V13,Masterf!$C$1:$CD$9,3,FALSE))</f>
        <v>-52</v>
      </c>
      <c r="AD13" s="34">
        <f>IF(E13="H",T13-HLOOKUP(V13,Masterh!$C$1:$CX$9,4,FALSE),T13-HLOOKUP(V13,Masterf!$C$1:$CD$9,4,FALSE))</f>
        <v>-63</v>
      </c>
      <c r="AE13" s="34">
        <f>IF(E13="H",T13-HLOOKUP(V13,Masterh!$C$1:$CX$9,5,FALSE),T13-HLOOKUP(V13,Masterf!$C$1:$CD$9,5,FALSE))</f>
        <v>-69</v>
      </c>
      <c r="AF13" s="34">
        <f>IF(E13="H",T13-HLOOKUP(V13,Masterh!$C$1:$CX$9,6,FALSE),T13-HLOOKUP(V13,Masterf!$C$1:$CD$9,6,FALSE))</f>
        <v>-76</v>
      </c>
      <c r="AG13" s="34">
        <f>IF(E13="H",T13-HLOOKUP(V13,Masterh!$C$1:$CX$9,7,FALSE),T13-HLOOKUP(V13,Masterf!$C$1:$CD$9,7,FALSE))</f>
        <v>-1000</v>
      </c>
      <c r="AH13" s="34">
        <f>IF(E13="H",T13-HLOOKUP(V13,Masterh!$C$1:$CX$9,8,FALSE),T13-HLOOKUP(V13,Masterf!$C$1:$CD$9,8,FALSE))</f>
        <v>-1000</v>
      </c>
      <c r="AI13" s="34">
        <f>IF(E13="H",T13-HLOOKUP(V13,Masterh!$C$1:$CX$9,9,FALSE),T13-HLOOKUP(V13,Masterf!$C$1:$CD$9,9,FALSE))</f>
        <v>-1000</v>
      </c>
      <c r="AJ13" s="53" t="str">
        <f t="shared" si="7"/>
        <v>REG</v>
      </c>
      <c r="AK13" s="39"/>
      <c r="AL13" s="54" t="str">
        <f t="shared" si="8"/>
        <v>REG</v>
      </c>
      <c r="AM13" s="55">
        <f t="shared" si="9"/>
        <v>-52</v>
      </c>
      <c r="AN13" s="39" t="str">
        <f>IF(AND(H13&lt;1922),VLOOKUP(K13,Masterh!$F$11:$P$29,11),IF(AND(H13&gt;=1922,H13&lt;1940),VLOOKUP(K13,Masterh!$F$11:$P$29,11),IF(AND(H13&gt;=1940,H13&lt;1945),VLOOKUP(K13,Masterh!$F$11:$P$29,10),IF(AND(H13&gt;=1945,H13&lt;1950),VLOOKUP(K13,Masterh!$F$11:$P$29,9),IF(AND(H13&gt;=1950,H13&lt;1955),VLOOKUP(K13,Masterh!$F$11:$P$29,8),IF(AND(H13&gt;=1955,H13&lt;1960),VLOOKUP(K13,Masterh!$F$11:$P$29,7),IF(AND(H13&gt;=1960,H13&lt;1965),VLOOKUP(K13,Masterh!$F$11:$P$29,6),IF(AND(H13&gt;=1965,H13&lt;1970),VLOOKUP(K13,Masterh!$F$11:$P$29,5),IF(AND(H13&gt;=1970,H13&lt;1975),VLOOKUP(K13,Masterh!$F$11:$P$29,4),IF(AND(H13&gt;=1975,H13&lt;1980),VLOOKUP(K13,Masterh!$F$11:$P$29,3),IF(AND(H13&gt;=1980,H13&lt;1985),VLOOKUP(K13,Masterh!$F$11:$P$29,2),"SENIOR")))))))))))</f>
        <v>M80 -81</v>
      </c>
      <c r="AO13" s="39" t="str">
        <f>IF(AND(H13&lt;1950),VLOOKUP(K13,Masterf!$F$11:$N$25,9),IF(AND(H13&gt;=1950,H13&lt;1955),VLOOKUP(K13,Masterf!$F$11:$N$25,8),IF(AND(H13&gt;=1955,H13&lt;1960),VLOOKUP(K13,Masterf!$F$11:$N$25,7),IF(AND(H13&gt;=1960,H13&lt;1965),VLOOKUP(K13,Masterf!$F$11:$N$25,6),IF(AND(H13&gt;=1965,H13&lt;1970),VLOOKUP(K13,Masterf!$F$11:$N$25,5),IF(AND(H13&gt;=1970,H13&lt;1975),VLOOKUP(K13,Masterf!$F$11:$N$25,4),IF(AND(H13&gt;=1975,H13&lt;1980),VLOOKUP(K13,Masterf!$F$11:$N$25,3),IF(AND(H13&gt;=1980,H13&lt;1985),VLOOKUP(K13,Masterf!$F$11:$N$25,2),"SENIOR"))))))))</f>
        <v>W70 -76</v>
      </c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</row>
    <row r="14" spans="1:124" s="5" customFormat="1" ht="30" customHeight="1" x14ac:dyDescent="0.2">
      <c r="B14" s="115"/>
      <c r="C14" s="116"/>
      <c r="D14" s="117"/>
      <c r="E14" s="104" t="s">
        <v>50</v>
      </c>
      <c r="F14" s="205" t="s">
        <v>39</v>
      </c>
      <c r="G14" s="118" t="s">
        <v>39</v>
      </c>
      <c r="H14" s="206">
        <v>1950</v>
      </c>
      <c r="I14" s="119"/>
      <c r="J14" s="207" t="s">
        <v>39</v>
      </c>
      <c r="K14" s="120">
        <v>75</v>
      </c>
      <c r="L14" s="121"/>
      <c r="M14" s="122"/>
      <c r="N14" s="122"/>
      <c r="O14" s="123">
        <f t="shared" si="3"/>
        <v>0</v>
      </c>
      <c r="P14" s="121"/>
      <c r="Q14" s="122"/>
      <c r="R14" s="122"/>
      <c r="S14" s="123">
        <f t="shared" si="4"/>
        <v>0</v>
      </c>
      <c r="T14" s="124">
        <f t="shared" si="11"/>
        <v>0</v>
      </c>
      <c r="U14" s="112" t="str">
        <f t="shared" si="10"/>
        <v>REG -90</v>
      </c>
      <c r="V14" s="112" t="str">
        <f t="shared" si="5"/>
        <v>M65 -81</v>
      </c>
      <c r="W14" s="113">
        <f t="shared" si="6"/>
        <v>0</v>
      </c>
      <c r="X14" s="146">
        <f>IF(E14="","",W14*VLOOKUP(2019-H14,Masterh!C$17:D$72,2,FALSE))</f>
        <v>0</v>
      </c>
      <c r="Y14" s="114"/>
      <c r="AA14" s="39"/>
      <c r="AB14" s="34">
        <f>IF(E14="H",T14-HLOOKUP(V14,Masterh!$C$1:$CX$9,2,FALSE),T14-HLOOKUP(V14,Masterf!$C$1:$CD$9,2,FALSE))</f>
        <v>0</v>
      </c>
      <c r="AC14" s="34">
        <f>IF(E14="H",T14-HLOOKUP(V14,Masterh!$C$1:$CX$9,3,FALSE),T14-HLOOKUP(V14,Masterf!$C$1:$CD$9,3,FALSE))</f>
        <v>-90</v>
      </c>
      <c r="AD14" s="34">
        <f>IF(E14="H",T14-HLOOKUP(V14,Masterh!$C$1:$CX$9,4,FALSE),T14-HLOOKUP(V14,Masterf!$C$1:$CD$9,4,FALSE))</f>
        <v>-107</v>
      </c>
      <c r="AE14" s="34">
        <f>IF(E14="H",T14-HLOOKUP(V14,Masterh!$C$1:$CX$9,5,FALSE),T14-HLOOKUP(V14,Masterf!$C$1:$CD$9,5,FALSE))</f>
        <v>-113</v>
      </c>
      <c r="AF14" s="34">
        <f>IF(E14="H",T14-HLOOKUP(V14,Masterh!$C$1:$CX$9,6,FALSE),T14-HLOOKUP(V14,Masterf!$C$1:$CD$9,6,FALSE))</f>
        <v>-125</v>
      </c>
      <c r="AG14" s="34">
        <f>IF(E14="H",T14-HLOOKUP(V14,Masterh!$C$1:$CX$9,7,FALSE),T14-HLOOKUP(V14,Masterf!$C$1:$CD$9,7,FALSE))</f>
        <v>-1000</v>
      </c>
      <c r="AH14" s="34">
        <f>IF(E14="H",T14-HLOOKUP(V14,Masterh!$C$1:$CX$9,8,FALSE),T14-HLOOKUP(V14,Masterf!$C$1:$CD$9,8,FALSE))</f>
        <v>-1000</v>
      </c>
      <c r="AI14" s="34">
        <f>IF(E14="H",T14-HLOOKUP(V14,Masterh!$C$1:$CX$9,9,FALSE),T14-HLOOKUP(V14,Masterf!$C$1:$CD$9,9,FALSE))</f>
        <v>-1000</v>
      </c>
      <c r="AJ14" s="53" t="str">
        <f t="shared" si="7"/>
        <v>REG</v>
      </c>
      <c r="AK14" s="39"/>
      <c r="AL14" s="54" t="str">
        <f t="shared" si="8"/>
        <v>REG</v>
      </c>
      <c r="AM14" s="55">
        <f t="shared" si="9"/>
        <v>-90</v>
      </c>
      <c r="AN14" s="39" t="str">
        <f>IF(AND(H14&lt;1922),VLOOKUP(K14,Masterh!$F$11:$P$29,11),IF(AND(H14&gt;=1922,H14&lt;1940),VLOOKUP(K14,Masterh!$F$11:$P$29,11),IF(AND(H14&gt;=1940,H14&lt;1945),VLOOKUP(K14,Masterh!$F$11:$P$29,10),IF(AND(H14&gt;=1945,H14&lt;1950),VLOOKUP(K14,Masterh!$F$11:$P$29,9),IF(AND(H14&gt;=1950,H14&lt;1955),VLOOKUP(K14,Masterh!$F$11:$P$29,8),IF(AND(H14&gt;=1955,H14&lt;1960),VLOOKUP(K14,Masterh!$F$11:$P$29,7),IF(AND(H14&gt;=1960,H14&lt;1965),VLOOKUP(K14,Masterh!$F$11:$P$29,6),IF(AND(H14&gt;=1965,H14&lt;1970),VLOOKUP(K14,Masterh!$F$11:$P$29,5),IF(AND(H14&gt;=1970,H14&lt;1975),VLOOKUP(K14,Masterh!$F$11:$P$29,4),IF(AND(H14&gt;=1975,H14&lt;1980),VLOOKUP(K14,Masterh!$F$11:$P$29,3),IF(AND(H14&gt;=1980,H14&lt;1985),VLOOKUP(K14,Masterh!$F$11:$P$29,2),"SENIOR")))))))))))</f>
        <v>M65 -81</v>
      </c>
      <c r="AO14" s="39" t="str">
        <f>IF(AND(H14&lt;1950),VLOOKUP(K14,Masterf!$F$11:$N$25,9),IF(AND(H14&gt;=1950,H14&lt;1955),VLOOKUP(K14,Masterf!$F$11:$N$25,8),IF(AND(H14&gt;=1955,H14&lt;1960),VLOOKUP(K14,Masterf!$F$11:$N$25,7),IF(AND(H14&gt;=1960,H14&lt;1965),VLOOKUP(K14,Masterf!$F$11:$N$25,6),IF(AND(H14&gt;=1965,H14&lt;1970),VLOOKUP(K14,Masterf!$F$11:$N$25,5),IF(AND(H14&gt;=1970,H14&lt;1975),VLOOKUP(K14,Masterf!$F$11:$N$25,4),IF(AND(H14&gt;=1975,H14&lt;1980),VLOOKUP(K14,Masterf!$F$11:$N$25,3),IF(AND(H14&gt;=1980,H14&lt;1985),VLOOKUP(K14,Masterf!$F$11:$N$25,2),"SENIOR"))))))))</f>
        <v>W65 -76</v>
      </c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</row>
    <row r="15" spans="1:124" s="5" customFormat="1" ht="30" customHeight="1" x14ac:dyDescent="0.2">
      <c r="B15" s="115"/>
      <c r="C15" s="116"/>
      <c r="D15" s="117"/>
      <c r="E15" s="104" t="s">
        <v>50</v>
      </c>
      <c r="F15" s="205"/>
      <c r="G15" s="118"/>
      <c r="H15" s="206">
        <v>1949</v>
      </c>
      <c r="I15" s="119"/>
      <c r="J15" s="207"/>
      <c r="K15" s="120">
        <v>89</v>
      </c>
      <c r="L15" s="121"/>
      <c r="M15" s="122"/>
      <c r="N15" s="122"/>
      <c r="O15" s="123">
        <f t="shared" si="3"/>
        <v>0</v>
      </c>
      <c r="P15" s="121"/>
      <c r="Q15" s="122"/>
      <c r="R15" s="122"/>
      <c r="S15" s="123">
        <f t="shared" si="4"/>
        <v>0</v>
      </c>
      <c r="T15" s="124">
        <f t="shared" si="11"/>
        <v>0</v>
      </c>
      <c r="U15" s="112" t="str">
        <f t="shared" si="10"/>
        <v>REG -72</v>
      </c>
      <c r="V15" s="112" t="str">
        <f t="shared" si="5"/>
        <v>M70 -89</v>
      </c>
      <c r="W15" s="113">
        <f t="shared" si="6"/>
        <v>0</v>
      </c>
      <c r="X15" s="146">
        <f>IF(E15="","",W15*VLOOKUP(2019-H15,Masterh!C$17:D$72,2,FALSE))</f>
        <v>0</v>
      </c>
      <c r="Y15" s="114"/>
      <c r="AA15" s="39"/>
      <c r="AB15" s="34">
        <f>IF(E15="H",T15-HLOOKUP(V15,Masterh!$C$1:$CX$9,2,FALSE),T15-HLOOKUP(V15,Masterf!$C$1:$CD$9,2,FALSE))</f>
        <v>0</v>
      </c>
      <c r="AC15" s="34">
        <f>IF(E15="H",T15-HLOOKUP(V15,Masterh!$C$1:$CX$9,3,FALSE),T15-HLOOKUP(V15,Masterf!$C$1:$CD$9,3,FALSE))</f>
        <v>-72</v>
      </c>
      <c r="AD15" s="34">
        <f>IF(E15="H",T15-HLOOKUP(V15,Masterh!$C$1:$CX$9,4,FALSE),T15-HLOOKUP(V15,Masterf!$C$1:$CD$9,4,FALSE))</f>
        <v>-95</v>
      </c>
      <c r="AE15" s="34">
        <f>IF(E15="H",T15-HLOOKUP(V15,Masterh!$C$1:$CX$9,5,FALSE),T15-HLOOKUP(V15,Masterf!$C$1:$CD$9,5,FALSE))</f>
        <v>-101</v>
      </c>
      <c r="AF15" s="34">
        <f>IF(E15="H",T15-HLOOKUP(V15,Masterh!$C$1:$CX$9,6,FALSE),T15-HLOOKUP(V15,Masterf!$C$1:$CD$9,6,FALSE))</f>
        <v>-114</v>
      </c>
      <c r="AG15" s="34">
        <f>IF(E15="H",T15-HLOOKUP(V15,Masterh!$C$1:$CX$9,7,FALSE),T15-HLOOKUP(V15,Masterf!$C$1:$CD$9,7,FALSE))</f>
        <v>-1000</v>
      </c>
      <c r="AH15" s="34">
        <f>IF(E15="H",T15-HLOOKUP(V15,Masterh!$C$1:$CX$9,8,FALSE),T15-HLOOKUP(V15,Masterf!$C$1:$CD$9,8,FALSE))</f>
        <v>-1000</v>
      </c>
      <c r="AI15" s="34">
        <f>IF(E15="H",T15-HLOOKUP(V15,Masterh!$C$1:$CX$9,9,FALSE),T15-HLOOKUP(V15,Masterf!$C$1:$CD$9,9,FALSE))</f>
        <v>-1000</v>
      </c>
      <c r="AJ15" s="53" t="str">
        <f t="shared" si="7"/>
        <v>REG</v>
      </c>
      <c r="AK15" s="39"/>
      <c r="AL15" s="54" t="str">
        <f t="shared" si="8"/>
        <v>REG</v>
      </c>
      <c r="AM15" s="55">
        <f t="shared" si="9"/>
        <v>-72</v>
      </c>
      <c r="AN15" s="39" t="str">
        <f>IF(AND(H15&lt;1922),VLOOKUP(K15,Masterh!$F$11:$P$29,11),IF(AND(H15&gt;=1922,H15&lt;1940),VLOOKUP(K15,Masterh!$F$11:$P$29,11),IF(AND(H15&gt;=1940,H15&lt;1945),VLOOKUP(K15,Masterh!$F$11:$P$29,10),IF(AND(H15&gt;=1945,H15&lt;1950),VLOOKUP(K15,Masterh!$F$11:$P$29,9),IF(AND(H15&gt;=1950,H15&lt;1955),VLOOKUP(K15,Masterh!$F$11:$P$29,8),IF(AND(H15&gt;=1955,H15&lt;1960),VLOOKUP(K15,Masterh!$F$11:$P$29,7),IF(AND(H15&gt;=1960,H15&lt;1965),VLOOKUP(K15,Masterh!$F$11:$P$29,6),IF(AND(H15&gt;=1965,H15&lt;1970),VLOOKUP(K15,Masterh!$F$11:$P$29,5),IF(AND(H15&gt;=1970,H15&lt;1975),VLOOKUP(K15,Masterh!$F$11:$P$29,4),IF(AND(H15&gt;=1975,H15&lt;1980),VLOOKUP(K15,Masterh!$F$11:$P$29,3),IF(AND(H15&gt;=1980,H15&lt;1985),VLOOKUP(K15,Masterh!$F$11:$P$29,2),"SENIOR")))))))))))</f>
        <v>M70 -89</v>
      </c>
      <c r="AO15" s="39" t="str">
        <f>IF(AND(H15&lt;1950),VLOOKUP(K15,Masterf!$F$11:$N$25,9),IF(AND(H15&gt;=1950,H15&lt;1955),VLOOKUP(K15,Masterf!$F$11:$N$25,8),IF(AND(H15&gt;=1955,H15&lt;1960),VLOOKUP(K15,Masterf!$F$11:$N$25,7),IF(AND(H15&gt;=1960,H15&lt;1965),VLOOKUP(K15,Masterf!$F$11:$N$25,6),IF(AND(H15&gt;=1965,H15&lt;1970),VLOOKUP(K15,Masterf!$F$11:$N$25,5),IF(AND(H15&gt;=1970,H15&lt;1975),VLOOKUP(K15,Masterf!$F$11:$N$25,4),IF(AND(H15&gt;=1975,H15&lt;1980),VLOOKUP(K15,Masterf!$F$11:$N$25,3),IF(AND(H15&gt;=1980,H15&lt;1985),VLOOKUP(K15,Masterf!$F$11:$N$25,2),"SENIOR"))))))))</f>
        <v>W70 &gt;87</v>
      </c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</row>
    <row r="16" spans="1:124" s="5" customFormat="1" ht="30" customHeight="1" x14ac:dyDescent="0.2">
      <c r="B16" s="115"/>
      <c r="C16" s="116"/>
      <c r="D16" s="117"/>
      <c r="E16" s="104" t="s">
        <v>50</v>
      </c>
      <c r="F16" s="205" t="s">
        <v>39</v>
      </c>
      <c r="G16" s="118" t="s">
        <v>39</v>
      </c>
      <c r="H16" s="206">
        <v>1945</v>
      </c>
      <c r="I16" s="119"/>
      <c r="J16" s="207" t="s">
        <v>39</v>
      </c>
      <c r="K16" s="120">
        <v>75</v>
      </c>
      <c r="L16" s="121"/>
      <c r="M16" s="122"/>
      <c r="N16" s="122"/>
      <c r="O16" s="123">
        <f t="shared" si="3"/>
        <v>0</v>
      </c>
      <c r="P16" s="121"/>
      <c r="Q16" s="122"/>
      <c r="R16" s="122"/>
      <c r="S16" s="123">
        <f t="shared" si="4"/>
        <v>0</v>
      </c>
      <c r="T16" s="124">
        <f t="shared" si="11"/>
        <v>0</v>
      </c>
      <c r="U16" s="112" t="str">
        <f t="shared" si="10"/>
        <v>REG -70</v>
      </c>
      <c r="V16" s="112" t="str">
        <f t="shared" si="5"/>
        <v>M70 -81</v>
      </c>
      <c r="W16" s="113">
        <f t="shared" si="6"/>
        <v>0</v>
      </c>
      <c r="X16" s="146">
        <f>IF(E16="","",W16*VLOOKUP(2019-H16,Masterh!C$17:D$72,2,FALSE))</f>
        <v>0</v>
      </c>
      <c r="Y16" s="114"/>
      <c r="AA16" s="39"/>
      <c r="AB16" s="34">
        <f>IF(E16="H",T16-HLOOKUP(V16,Masterh!$C$1:$CX$9,2,FALSE),T16-HLOOKUP(V16,Masterf!$C$1:$CD$9,2,FALSE))</f>
        <v>0</v>
      </c>
      <c r="AC16" s="34">
        <f>IF(E16="H",T16-HLOOKUP(V16,Masterh!$C$1:$CX$9,3,FALSE),T16-HLOOKUP(V16,Masterf!$C$1:$CD$9,3,FALSE))</f>
        <v>-70</v>
      </c>
      <c r="AD16" s="34">
        <f>IF(E16="H",T16-HLOOKUP(V16,Masterh!$C$1:$CX$9,4,FALSE),T16-HLOOKUP(V16,Masterf!$C$1:$CD$9,4,FALSE))</f>
        <v>-90</v>
      </c>
      <c r="AE16" s="34">
        <f>IF(E16="H",T16-HLOOKUP(V16,Masterh!$C$1:$CX$9,5,FALSE),T16-HLOOKUP(V16,Masterf!$C$1:$CD$9,5,FALSE))</f>
        <v>-96</v>
      </c>
      <c r="AF16" s="34">
        <f>IF(E16="H",T16-HLOOKUP(V16,Masterh!$C$1:$CX$9,6,FALSE),T16-HLOOKUP(V16,Masterf!$C$1:$CD$9,6,FALSE))</f>
        <v>-109</v>
      </c>
      <c r="AG16" s="34">
        <f>IF(E16="H",T16-HLOOKUP(V16,Masterh!$C$1:$CX$9,7,FALSE),T16-HLOOKUP(V16,Masterf!$C$1:$CD$9,7,FALSE))</f>
        <v>-1000</v>
      </c>
      <c r="AH16" s="34">
        <f>IF(E16="H",T16-HLOOKUP(V16,Masterh!$C$1:$CX$9,8,FALSE),T16-HLOOKUP(V16,Masterf!$C$1:$CD$9,8,FALSE))</f>
        <v>-1000</v>
      </c>
      <c r="AI16" s="34">
        <f>IF(E16="H",T16-HLOOKUP(V16,Masterh!$C$1:$CX$9,9,FALSE),T16-HLOOKUP(V16,Masterf!$C$1:$CD$9,9,FALSE))</f>
        <v>-1000</v>
      </c>
      <c r="AJ16" s="53" t="str">
        <f t="shared" si="7"/>
        <v>REG</v>
      </c>
      <c r="AK16" s="39"/>
      <c r="AL16" s="54" t="str">
        <f t="shared" si="8"/>
        <v>REG</v>
      </c>
      <c r="AM16" s="55">
        <f t="shared" si="9"/>
        <v>-70</v>
      </c>
      <c r="AN16" s="39" t="str">
        <f>IF(AND(H16&lt;1922),VLOOKUP(K16,Masterh!$F$11:$P$29,11),IF(AND(H16&gt;=1922,H16&lt;1940),VLOOKUP(K16,Masterh!$F$11:$P$29,11),IF(AND(H16&gt;=1940,H16&lt;1945),VLOOKUP(K16,Masterh!$F$11:$P$29,10),IF(AND(H16&gt;=1945,H16&lt;1950),VLOOKUP(K16,Masterh!$F$11:$P$29,9),IF(AND(H16&gt;=1950,H16&lt;1955),VLOOKUP(K16,Masterh!$F$11:$P$29,8),IF(AND(H16&gt;=1955,H16&lt;1960),VLOOKUP(K16,Masterh!$F$11:$P$29,7),IF(AND(H16&gt;=1960,H16&lt;1965),VLOOKUP(K16,Masterh!$F$11:$P$29,6),IF(AND(H16&gt;=1965,H16&lt;1970),VLOOKUP(K16,Masterh!$F$11:$P$29,5),IF(AND(H16&gt;=1970,H16&lt;1975),VLOOKUP(K16,Masterh!$F$11:$P$29,4),IF(AND(H16&gt;=1975,H16&lt;1980),VLOOKUP(K16,Masterh!$F$11:$P$29,3),IF(AND(H16&gt;=1980,H16&lt;1985),VLOOKUP(K16,Masterh!$F$11:$P$29,2),"SENIOR")))))))))))</f>
        <v>M70 -81</v>
      </c>
      <c r="AO16" s="39" t="str">
        <f>IF(AND(H16&lt;1950),VLOOKUP(K16,Masterf!$F$11:$N$25,9),IF(AND(H16&gt;=1950,H16&lt;1955),VLOOKUP(K16,Masterf!$F$11:$N$25,8),IF(AND(H16&gt;=1955,H16&lt;1960),VLOOKUP(K16,Masterf!$F$11:$N$25,7),IF(AND(H16&gt;=1960,H16&lt;1965),VLOOKUP(K16,Masterf!$F$11:$N$25,6),IF(AND(H16&gt;=1965,H16&lt;1970),VLOOKUP(K16,Masterf!$F$11:$N$25,5),IF(AND(H16&gt;=1970,H16&lt;1975),VLOOKUP(K16,Masterf!$F$11:$N$25,4),IF(AND(H16&gt;=1975,H16&lt;1980),VLOOKUP(K16,Masterf!$F$11:$N$25,3),IF(AND(H16&gt;=1980,H16&lt;1985),VLOOKUP(K16,Masterf!$F$11:$N$25,2),"SENIOR"))))))))</f>
        <v>W70 -76</v>
      </c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</row>
    <row r="17" spans="1:124" s="5" customFormat="1" ht="30" customHeight="1" x14ac:dyDescent="0.2">
      <c r="B17" s="115"/>
      <c r="C17" s="116"/>
      <c r="D17" s="117"/>
      <c r="E17" s="104" t="s">
        <v>50</v>
      </c>
      <c r="F17" s="205" t="s">
        <v>39</v>
      </c>
      <c r="G17" s="118" t="s">
        <v>39</v>
      </c>
      <c r="H17" s="206">
        <v>1944</v>
      </c>
      <c r="I17" s="119"/>
      <c r="J17" s="207" t="s">
        <v>39</v>
      </c>
      <c r="K17" s="120">
        <v>75</v>
      </c>
      <c r="L17" s="121"/>
      <c r="M17" s="122"/>
      <c r="N17" s="122"/>
      <c r="O17" s="123">
        <f t="shared" si="3"/>
        <v>0</v>
      </c>
      <c r="P17" s="121"/>
      <c r="Q17" s="122"/>
      <c r="R17" s="122"/>
      <c r="S17" s="123">
        <f t="shared" si="4"/>
        <v>0</v>
      </c>
      <c r="T17" s="124">
        <f t="shared" si="11"/>
        <v>0</v>
      </c>
      <c r="U17" s="112" t="str">
        <f t="shared" si="10"/>
        <v>REG -60</v>
      </c>
      <c r="V17" s="112" t="str">
        <f t="shared" si="5"/>
        <v>M75 -81</v>
      </c>
      <c r="W17" s="113">
        <f t="shared" si="6"/>
        <v>0</v>
      </c>
      <c r="X17" s="146">
        <f>IF(E17="","",W17*VLOOKUP(2019-H17,Masterh!C$17:D$72,2,FALSE))</f>
        <v>0</v>
      </c>
      <c r="Y17" s="114"/>
      <c r="AA17" s="39"/>
      <c r="AB17" s="34">
        <f>IF(E17="H",T17-HLOOKUP(V17,Masterh!$C$1:$CX$9,2,FALSE),T17-HLOOKUP(V17,Masterf!$C$1:$CD$9,2,FALSE))</f>
        <v>0</v>
      </c>
      <c r="AC17" s="34">
        <f>IF(E17="H",T17-HLOOKUP(V17,Masterh!$C$1:$CX$9,3,FALSE),T17-HLOOKUP(V17,Masterf!$C$1:$CD$9,3,FALSE))</f>
        <v>-60</v>
      </c>
      <c r="AD17" s="34">
        <f>IF(E17="H",T17-HLOOKUP(V17,Masterh!$C$1:$CX$9,4,FALSE),T17-HLOOKUP(V17,Masterf!$C$1:$CD$9,4,FALSE))</f>
        <v>-77</v>
      </c>
      <c r="AE17" s="34">
        <f>IF(E17="H",T17-HLOOKUP(V17,Masterh!$C$1:$CX$9,5,FALSE),T17-HLOOKUP(V17,Masterf!$C$1:$CD$9,5,FALSE))</f>
        <v>-83</v>
      </c>
      <c r="AF17" s="34">
        <f>IF(E17="H",T17-HLOOKUP(V17,Masterh!$C$1:$CX$9,6,FALSE),T17-HLOOKUP(V17,Masterf!$C$1:$CD$9,6,FALSE))</f>
        <v>-93</v>
      </c>
      <c r="AG17" s="34">
        <f>IF(E17="H",T17-HLOOKUP(V17,Masterh!$C$1:$CX$9,7,FALSE),T17-HLOOKUP(V17,Masterf!$C$1:$CD$9,7,FALSE))</f>
        <v>-1000</v>
      </c>
      <c r="AH17" s="34">
        <f>IF(E17="H",T17-HLOOKUP(V17,Masterh!$C$1:$CX$9,8,FALSE),T17-HLOOKUP(V17,Masterf!$C$1:$CD$9,8,FALSE))</f>
        <v>-1000</v>
      </c>
      <c r="AI17" s="34">
        <f>IF(E17="H",T17-HLOOKUP(V17,Masterh!$C$1:$CX$9,9,FALSE),T17-HLOOKUP(V17,Masterf!$C$1:$CD$9,9,FALSE))</f>
        <v>-1000</v>
      </c>
      <c r="AJ17" s="53" t="str">
        <f t="shared" si="7"/>
        <v>REG</v>
      </c>
      <c r="AK17" s="39"/>
      <c r="AL17" s="54" t="str">
        <f t="shared" si="8"/>
        <v>REG</v>
      </c>
      <c r="AM17" s="55">
        <f t="shared" si="9"/>
        <v>-60</v>
      </c>
      <c r="AN17" s="39" t="str">
        <f>IF(AND(H17&lt;1922),VLOOKUP(K17,Masterh!$F$11:$P$29,11),IF(AND(H17&gt;=1922,H17&lt;1940),VLOOKUP(K17,Masterh!$F$11:$P$29,11),IF(AND(H17&gt;=1940,H17&lt;1945),VLOOKUP(K17,Masterh!$F$11:$P$29,10),IF(AND(H17&gt;=1945,H17&lt;1950),VLOOKUP(K17,Masterh!$F$11:$P$29,9),IF(AND(H17&gt;=1950,H17&lt;1955),VLOOKUP(K17,Masterh!$F$11:$P$29,8),IF(AND(H17&gt;=1955,H17&lt;1960),VLOOKUP(K17,Masterh!$F$11:$P$29,7),IF(AND(H17&gt;=1960,H17&lt;1965),VLOOKUP(K17,Masterh!$F$11:$P$29,6),IF(AND(H17&gt;=1965,H17&lt;1970),VLOOKUP(K17,Masterh!$F$11:$P$29,5),IF(AND(H17&gt;=1970,H17&lt;1975),VLOOKUP(K17,Masterh!$F$11:$P$29,4),IF(AND(H17&gt;=1975,H17&lt;1980),VLOOKUP(K17,Masterh!$F$11:$P$29,3),IF(AND(H17&gt;=1980,H17&lt;1985),VLOOKUP(K17,Masterh!$F$11:$P$29,2),"SENIOR")))))))))))</f>
        <v>M75 -81</v>
      </c>
      <c r="AO17" s="39" t="str">
        <f>IF(AND(H17&lt;1950),VLOOKUP(K17,Masterf!$F$11:$N$25,9),IF(AND(H17&gt;=1950,H17&lt;1955),VLOOKUP(K17,Masterf!$F$11:$N$25,8),IF(AND(H17&gt;=1955,H17&lt;1960),VLOOKUP(K17,Masterf!$F$11:$N$25,7),IF(AND(H17&gt;=1960,H17&lt;1965),VLOOKUP(K17,Masterf!$F$11:$N$25,6),IF(AND(H17&gt;=1965,H17&lt;1970),VLOOKUP(K17,Masterf!$F$11:$N$25,5),IF(AND(H17&gt;=1970,H17&lt;1975),VLOOKUP(K17,Masterf!$F$11:$N$25,4),IF(AND(H17&gt;=1975,H17&lt;1980),VLOOKUP(K17,Masterf!$F$11:$N$25,3),IF(AND(H17&gt;=1980,H17&lt;1985),VLOOKUP(K17,Masterf!$F$11:$N$25,2),"SENIOR"))))))))</f>
        <v>W70 -76</v>
      </c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</row>
    <row r="18" spans="1:124" s="5" customFormat="1" ht="30" customHeight="1" x14ac:dyDescent="0.2">
      <c r="B18" s="115"/>
      <c r="C18" s="116"/>
      <c r="D18" s="117"/>
      <c r="E18" s="104" t="s">
        <v>50</v>
      </c>
      <c r="F18" s="205" t="s">
        <v>39</v>
      </c>
      <c r="G18" s="118" t="s">
        <v>39</v>
      </c>
      <c r="H18" s="206">
        <v>1954</v>
      </c>
      <c r="I18" s="119"/>
      <c r="J18" s="207" t="s">
        <v>39</v>
      </c>
      <c r="K18" s="120">
        <v>75</v>
      </c>
      <c r="L18" s="121"/>
      <c r="M18" s="122"/>
      <c r="N18" s="122"/>
      <c r="O18" s="123">
        <f t="shared" si="3"/>
        <v>0</v>
      </c>
      <c r="P18" s="121"/>
      <c r="Q18" s="122"/>
      <c r="R18" s="122"/>
      <c r="S18" s="123">
        <f t="shared" si="4"/>
        <v>0</v>
      </c>
      <c r="T18" s="124">
        <f t="shared" si="11"/>
        <v>0</v>
      </c>
      <c r="U18" s="112" t="str">
        <f t="shared" si="10"/>
        <v>REG -90</v>
      </c>
      <c r="V18" s="112" t="str">
        <f t="shared" si="5"/>
        <v>M65 -81</v>
      </c>
      <c r="W18" s="113">
        <f t="shared" si="6"/>
        <v>0</v>
      </c>
      <c r="X18" s="146">
        <f>IF(E18="","",W18*VLOOKUP(2019-H18,Masterh!C$17:D$72,2,FALSE))</f>
        <v>0</v>
      </c>
      <c r="Y18" s="114"/>
      <c r="AA18" s="39"/>
      <c r="AB18" s="34">
        <f>IF(E18="H",T18-HLOOKUP(V18,Masterh!$C$1:$CX$9,2,FALSE),T18-HLOOKUP(V18,Masterf!$C$1:$CD$9,2,FALSE))</f>
        <v>0</v>
      </c>
      <c r="AC18" s="34">
        <f>IF(E18="H",T18-HLOOKUP(V18,Masterh!$C$1:$CX$9,3,FALSE),T18-HLOOKUP(V18,Masterf!$C$1:$CD$9,3,FALSE))</f>
        <v>-90</v>
      </c>
      <c r="AD18" s="34">
        <f>IF(E18="H",T18-HLOOKUP(V18,Masterh!$C$1:$CX$9,4,FALSE),T18-HLOOKUP(V18,Masterf!$C$1:$CD$9,4,FALSE))</f>
        <v>-107</v>
      </c>
      <c r="AE18" s="34">
        <f>IF(E18="H",T18-HLOOKUP(V18,Masterh!$C$1:$CX$9,5,FALSE),T18-HLOOKUP(V18,Masterf!$C$1:$CD$9,5,FALSE))</f>
        <v>-113</v>
      </c>
      <c r="AF18" s="34">
        <f>IF(E18="H",T18-HLOOKUP(V18,Masterh!$C$1:$CX$9,6,FALSE),T18-HLOOKUP(V18,Masterf!$C$1:$CD$9,6,FALSE))</f>
        <v>-125</v>
      </c>
      <c r="AG18" s="34">
        <f>IF(E18="H",T18-HLOOKUP(V18,Masterh!$C$1:$CX$9,7,FALSE),T18-HLOOKUP(V18,Masterf!$C$1:$CD$9,7,FALSE))</f>
        <v>-1000</v>
      </c>
      <c r="AH18" s="34">
        <f>IF(E18="H",T18-HLOOKUP(V18,Masterh!$C$1:$CX$9,8,FALSE),T18-HLOOKUP(V18,Masterf!$C$1:$CD$9,8,FALSE))</f>
        <v>-1000</v>
      </c>
      <c r="AI18" s="34">
        <f>IF(E18="H",T18-HLOOKUP(V18,Masterh!$C$1:$CX$9,9,FALSE),T18-HLOOKUP(V18,Masterf!$C$1:$CD$9,9,FALSE))</f>
        <v>-1000</v>
      </c>
      <c r="AJ18" s="53" t="str">
        <f t="shared" si="7"/>
        <v>REG</v>
      </c>
      <c r="AK18" s="39"/>
      <c r="AL18" s="54" t="str">
        <f t="shared" si="8"/>
        <v>REG</v>
      </c>
      <c r="AM18" s="55">
        <f t="shared" si="9"/>
        <v>-90</v>
      </c>
      <c r="AN18" s="39" t="str">
        <f>IF(AND(H18&lt;1922),VLOOKUP(K18,Masterh!$F$11:$P$29,11),IF(AND(H18&gt;=1922,H18&lt;1940),VLOOKUP(K18,Masterh!$F$11:$P$29,11),IF(AND(H18&gt;=1940,H18&lt;1945),VLOOKUP(K18,Masterh!$F$11:$P$29,10),IF(AND(H18&gt;=1945,H18&lt;1950),VLOOKUP(K18,Masterh!$F$11:$P$29,9),IF(AND(H18&gt;=1950,H18&lt;1955),VLOOKUP(K18,Masterh!$F$11:$P$29,8),IF(AND(H18&gt;=1955,H18&lt;1960),VLOOKUP(K18,Masterh!$F$11:$P$29,7),IF(AND(H18&gt;=1960,H18&lt;1965),VLOOKUP(K18,Masterh!$F$11:$P$29,6),IF(AND(H18&gt;=1965,H18&lt;1970),VLOOKUP(K18,Masterh!$F$11:$P$29,5),IF(AND(H18&gt;=1970,H18&lt;1975),VLOOKUP(K18,Masterh!$F$11:$P$29,4),IF(AND(H18&gt;=1975,H18&lt;1980),VLOOKUP(K18,Masterh!$F$11:$P$29,3),IF(AND(H18&gt;=1980,H18&lt;1985),VLOOKUP(K18,Masterh!$F$11:$P$29,2),"SENIOR")))))))))))</f>
        <v>M65 -81</v>
      </c>
      <c r="AO18" s="39" t="str">
        <f>IF(AND(H18&lt;1950),VLOOKUP(K18,Masterf!$F$11:$N$25,9),IF(AND(H18&gt;=1950,H18&lt;1955),VLOOKUP(K18,Masterf!$F$11:$N$25,8),IF(AND(H18&gt;=1955,H18&lt;1960),VLOOKUP(K18,Masterf!$F$11:$N$25,7),IF(AND(H18&gt;=1960,H18&lt;1965),VLOOKUP(K18,Masterf!$F$11:$N$25,6),IF(AND(H18&gt;=1965,H18&lt;1970),VLOOKUP(K18,Masterf!$F$11:$N$25,5),IF(AND(H18&gt;=1970,H18&lt;1975),VLOOKUP(K18,Masterf!$F$11:$N$25,4),IF(AND(H18&gt;=1975,H18&lt;1980),VLOOKUP(K18,Masterf!$F$11:$N$25,3),IF(AND(H18&gt;=1980,H18&lt;1985),VLOOKUP(K18,Masterf!$F$11:$N$25,2),"SENIOR"))))))))</f>
        <v>W65 -76</v>
      </c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</row>
    <row r="19" spans="1:124" s="5" customFormat="1" ht="30" customHeight="1" x14ac:dyDescent="0.2">
      <c r="B19" s="115"/>
      <c r="C19" s="116"/>
      <c r="D19" s="117"/>
      <c r="E19" s="104" t="s">
        <v>50</v>
      </c>
      <c r="F19" s="205" t="s">
        <v>39</v>
      </c>
      <c r="G19" s="118" t="s">
        <v>39</v>
      </c>
      <c r="H19" s="206">
        <v>1949</v>
      </c>
      <c r="I19" s="119"/>
      <c r="J19" s="207" t="s">
        <v>39</v>
      </c>
      <c r="K19" s="120">
        <v>75</v>
      </c>
      <c r="L19" s="121"/>
      <c r="M19" s="122"/>
      <c r="N19" s="122"/>
      <c r="O19" s="123">
        <f t="shared" si="3"/>
        <v>0</v>
      </c>
      <c r="P19" s="121"/>
      <c r="Q19" s="122"/>
      <c r="R19" s="122"/>
      <c r="S19" s="123">
        <f t="shared" si="4"/>
        <v>0</v>
      </c>
      <c r="T19" s="124">
        <f t="shared" si="11"/>
        <v>0</v>
      </c>
      <c r="U19" s="112" t="str">
        <f t="shared" si="10"/>
        <v>REG -70</v>
      </c>
      <c r="V19" s="112" t="str">
        <f t="shared" si="5"/>
        <v>M70 -81</v>
      </c>
      <c r="W19" s="113">
        <f t="shared" si="6"/>
        <v>0</v>
      </c>
      <c r="X19" s="146">
        <f>IF(E19="","",W19*VLOOKUP(2019-H19,Masterh!C$17:D$72,2,FALSE))</f>
        <v>0</v>
      </c>
      <c r="Y19" s="114"/>
      <c r="AA19" s="39"/>
      <c r="AB19" s="34">
        <f>IF(E19="H",T19-HLOOKUP(V19,Masterh!$C$1:$CX$9,2,FALSE),T19-HLOOKUP(V19,Masterf!$C$1:$CD$9,2,FALSE))</f>
        <v>0</v>
      </c>
      <c r="AC19" s="34">
        <f>IF(E19="H",T19-HLOOKUP(V19,Masterh!$C$1:$CX$9,3,FALSE),T19-HLOOKUP(V19,Masterf!$C$1:$CD$9,3,FALSE))</f>
        <v>-70</v>
      </c>
      <c r="AD19" s="34">
        <f>IF(E19="H",T19-HLOOKUP(V19,Masterh!$C$1:$CX$9,4,FALSE),T19-HLOOKUP(V19,Masterf!$C$1:$CD$9,4,FALSE))</f>
        <v>-90</v>
      </c>
      <c r="AE19" s="34">
        <f>IF(E19="H",T19-HLOOKUP(V19,Masterh!$C$1:$CX$9,5,FALSE),T19-HLOOKUP(V19,Masterf!$C$1:$CD$9,5,FALSE))</f>
        <v>-96</v>
      </c>
      <c r="AF19" s="34">
        <f>IF(E19="H",T19-HLOOKUP(V19,Masterh!$C$1:$CX$9,6,FALSE),T19-HLOOKUP(V19,Masterf!$C$1:$CD$9,6,FALSE))</f>
        <v>-109</v>
      </c>
      <c r="AG19" s="34">
        <f>IF(E19="H",T19-HLOOKUP(V19,Masterh!$C$1:$CX$9,7,FALSE),T19-HLOOKUP(V19,Masterf!$C$1:$CD$9,7,FALSE))</f>
        <v>-1000</v>
      </c>
      <c r="AH19" s="34">
        <f>IF(E19="H",T19-HLOOKUP(V19,Masterh!$C$1:$CX$9,8,FALSE),T19-HLOOKUP(V19,Masterf!$C$1:$CD$9,8,FALSE))</f>
        <v>-1000</v>
      </c>
      <c r="AI19" s="34">
        <f>IF(E19="H",T19-HLOOKUP(V19,Masterh!$C$1:$CX$9,9,FALSE),T19-HLOOKUP(V19,Masterf!$C$1:$CD$9,9,FALSE))</f>
        <v>-1000</v>
      </c>
      <c r="AJ19" s="53" t="str">
        <f t="shared" si="7"/>
        <v>REG</v>
      </c>
      <c r="AK19" s="39"/>
      <c r="AL19" s="54" t="str">
        <f t="shared" si="8"/>
        <v>REG</v>
      </c>
      <c r="AM19" s="55">
        <f t="shared" si="9"/>
        <v>-70</v>
      </c>
      <c r="AN19" s="39" t="str">
        <f>IF(AND(H19&lt;1922),VLOOKUP(K19,Masterh!$F$11:$P$29,11),IF(AND(H19&gt;=1922,H19&lt;1940),VLOOKUP(K19,Masterh!$F$11:$P$29,11),IF(AND(H19&gt;=1940,H19&lt;1945),VLOOKUP(K19,Masterh!$F$11:$P$29,10),IF(AND(H19&gt;=1945,H19&lt;1950),VLOOKUP(K19,Masterh!$F$11:$P$29,9),IF(AND(H19&gt;=1950,H19&lt;1955),VLOOKUP(K19,Masterh!$F$11:$P$29,8),IF(AND(H19&gt;=1955,H19&lt;1960),VLOOKUP(K19,Masterh!$F$11:$P$29,7),IF(AND(H19&gt;=1960,H19&lt;1965),VLOOKUP(K19,Masterh!$F$11:$P$29,6),IF(AND(H19&gt;=1965,H19&lt;1970),VLOOKUP(K19,Masterh!$F$11:$P$29,5),IF(AND(H19&gt;=1970,H19&lt;1975),VLOOKUP(K19,Masterh!$F$11:$P$29,4),IF(AND(H19&gt;=1975,H19&lt;1980),VLOOKUP(K19,Masterh!$F$11:$P$29,3),IF(AND(H19&gt;=1980,H19&lt;1985),VLOOKUP(K19,Masterh!$F$11:$P$29,2),"SENIOR")))))))))))</f>
        <v>M70 -81</v>
      </c>
      <c r="AO19" s="39" t="str">
        <f>IF(AND(H19&lt;1950),VLOOKUP(K19,Masterf!$F$11:$N$25,9),IF(AND(H19&gt;=1950,H19&lt;1955),VLOOKUP(K19,Masterf!$F$11:$N$25,8),IF(AND(H19&gt;=1955,H19&lt;1960),VLOOKUP(K19,Masterf!$F$11:$N$25,7),IF(AND(H19&gt;=1960,H19&lt;1965),VLOOKUP(K19,Masterf!$F$11:$N$25,6),IF(AND(H19&gt;=1965,H19&lt;1970),VLOOKUP(K19,Masterf!$F$11:$N$25,5),IF(AND(H19&gt;=1970,H19&lt;1975),VLOOKUP(K19,Masterf!$F$11:$N$25,4),IF(AND(H19&gt;=1975,H19&lt;1980),VLOOKUP(K19,Masterf!$F$11:$N$25,3),IF(AND(H19&gt;=1980,H19&lt;1985),VLOOKUP(K19,Masterf!$F$11:$N$25,2),"SENIOR"))))))))</f>
        <v>W70 -76</v>
      </c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</row>
    <row r="20" spans="1:124" s="5" customFormat="1" ht="30" customHeight="1" x14ac:dyDescent="0.2">
      <c r="B20" s="115"/>
      <c r="C20" s="116"/>
      <c r="D20" s="117"/>
      <c r="E20" s="104" t="s">
        <v>50</v>
      </c>
      <c r="F20" s="205" t="s">
        <v>39</v>
      </c>
      <c r="G20" s="118" t="s">
        <v>39</v>
      </c>
      <c r="H20" s="206">
        <v>1944</v>
      </c>
      <c r="I20" s="119"/>
      <c r="J20" s="207" t="s">
        <v>39</v>
      </c>
      <c r="K20" s="120">
        <v>75</v>
      </c>
      <c r="L20" s="121"/>
      <c r="M20" s="122"/>
      <c r="N20" s="122"/>
      <c r="O20" s="123">
        <f t="shared" si="3"/>
        <v>0</v>
      </c>
      <c r="P20" s="121"/>
      <c r="Q20" s="122"/>
      <c r="R20" s="122"/>
      <c r="S20" s="123">
        <f t="shared" si="4"/>
        <v>0</v>
      </c>
      <c r="T20" s="124">
        <f t="shared" si="11"/>
        <v>0</v>
      </c>
      <c r="U20" s="112" t="str">
        <f t="shared" si="10"/>
        <v>REG -60</v>
      </c>
      <c r="V20" s="112" t="str">
        <f t="shared" si="5"/>
        <v>M75 -81</v>
      </c>
      <c r="W20" s="113">
        <f t="shared" si="6"/>
        <v>0</v>
      </c>
      <c r="X20" s="146">
        <f>IF(E20="","",W20*VLOOKUP(2019-H20,Masterh!C$17:D$72,2,FALSE))</f>
        <v>0</v>
      </c>
      <c r="Y20" s="114"/>
      <c r="AA20" s="39"/>
      <c r="AB20" s="34">
        <f>IF(E20="H",T20-HLOOKUP(V20,Masterh!$C$1:$CX$9,2,FALSE),T20-HLOOKUP(V20,Masterf!$C$1:$CD$9,2,FALSE))</f>
        <v>0</v>
      </c>
      <c r="AC20" s="34">
        <f>IF(E20="H",T20-HLOOKUP(V20,Masterh!$C$1:$CX$9,3,FALSE),T20-HLOOKUP(V20,Masterf!$C$1:$CD$9,3,FALSE))</f>
        <v>-60</v>
      </c>
      <c r="AD20" s="34">
        <f>IF(E20="H",T20-HLOOKUP(V20,Masterh!$C$1:$CX$9,4,FALSE),T20-HLOOKUP(V20,Masterf!$C$1:$CD$9,4,FALSE))</f>
        <v>-77</v>
      </c>
      <c r="AE20" s="34">
        <f>IF(E20="H",T20-HLOOKUP(V20,Masterh!$C$1:$CX$9,5,FALSE),T20-HLOOKUP(V20,Masterf!$C$1:$CD$9,5,FALSE))</f>
        <v>-83</v>
      </c>
      <c r="AF20" s="34">
        <f>IF(E20="H",T20-HLOOKUP(V20,Masterh!$C$1:$CX$9,6,FALSE),T20-HLOOKUP(V20,Masterf!$C$1:$CD$9,6,FALSE))</f>
        <v>-93</v>
      </c>
      <c r="AG20" s="34">
        <f>IF(E20="H",T20-HLOOKUP(V20,Masterh!$C$1:$CX$9,7,FALSE),T20-HLOOKUP(V20,Masterf!$C$1:$CD$9,7,FALSE))</f>
        <v>-1000</v>
      </c>
      <c r="AH20" s="34">
        <f>IF(E20="H",T20-HLOOKUP(V20,Masterh!$C$1:$CX$9,8,FALSE),T20-HLOOKUP(V20,Masterf!$C$1:$CD$9,8,FALSE))</f>
        <v>-1000</v>
      </c>
      <c r="AI20" s="34">
        <f>IF(E20="H",T20-HLOOKUP(V20,Masterh!$C$1:$CX$9,9,FALSE),T20-HLOOKUP(V20,Masterf!$C$1:$CD$9,9,FALSE))</f>
        <v>-1000</v>
      </c>
      <c r="AJ20" s="53" t="str">
        <f t="shared" si="7"/>
        <v>REG</v>
      </c>
      <c r="AK20" s="39"/>
      <c r="AL20" s="54" t="str">
        <f t="shared" si="8"/>
        <v>REG</v>
      </c>
      <c r="AM20" s="55">
        <f t="shared" si="9"/>
        <v>-60</v>
      </c>
      <c r="AN20" s="39" t="str">
        <f>IF(AND(H20&lt;1922),VLOOKUP(K20,Masterh!$F$11:$P$29,11),IF(AND(H20&gt;=1922,H20&lt;1940),VLOOKUP(K20,Masterh!$F$11:$P$29,11),IF(AND(H20&gt;=1940,H20&lt;1945),VLOOKUP(K20,Masterh!$F$11:$P$29,10),IF(AND(H20&gt;=1945,H20&lt;1950),VLOOKUP(K20,Masterh!$F$11:$P$29,9),IF(AND(H20&gt;=1950,H20&lt;1955),VLOOKUP(K20,Masterh!$F$11:$P$29,8),IF(AND(H20&gt;=1955,H20&lt;1960),VLOOKUP(K20,Masterh!$F$11:$P$29,7),IF(AND(H20&gt;=1960,H20&lt;1965),VLOOKUP(K20,Masterh!$F$11:$P$29,6),IF(AND(H20&gt;=1965,H20&lt;1970),VLOOKUP(K20,Masterh!$F$11:$P$29,5),IF(AND(H20&gt;=1970,H20&lt;1975),VLOOKUP(K20,Masterh!$F$11:$P$29,4),IF(AND(H20&gt;=1975,H20&lt;1980),VLOOKUP(K20,Masterh!$F$11:$P$29,3),IF(AND(H20&gt;=1980,H20&lt;1985),VLOOKUP(K20,Masterh!$F$11:$P$29,2),"SENIOR")))))))))))</f>
        <v>M75 -81</v>
      </c>
      <c r="AO20" s="39" t="str">
        <f>IF(AND(H20&lt;1950),VLOOKUP(K20,Masterf!$F$11:$N$25,9),IF(AND(H20&gt;=1950,H20&lt;1955),VLOOKUP(K20,Masterf!$F$11:$N$25,8),IF(AND(H20&gt;=1955,H20&lt;1960),VLOOKUP(K20,Masterf!$F$11:$N$25,7),IF(AND(H20&gt;=1960,H20&lt;1965),VLOOKUP(K20,Masterf!$F$11:$N$25,6),IF(AND(H20&gt;=1965,H20&lt;1970),VLOOKUP(K20,Masterf!$F$11:$N$25,5),IF(AND(H20&gt;=1970,H20&lt;1975),VLOOKUP(K20,Masterf!$F$11:$N$25,4),IF(AND(H20&gt;=1975,H20&lt;1980),VLOOKUP(K20,Masterf!$F$11:$N$25,3),IF(AND(H20&gt;=1980,H20&lt;1985),VLOOKUP(K20,Masterf!$F$11:$N$25,2),"SENIOR"))))))))</f>
        <v>W70 -76</v>
      </c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</row>
    <row r="21" spans="1:124" s="5" customFormat="1" ht="30" customHeight="1" x14ac:dyDescent="0.2">
      <c r="B21" s="115"/>
      <c r="C21" s="116"/>
      <c r="D21" s="117"/>
      <c r="E21" s="104" t="s">
        <v>50</v>
      </c>
      <c r="F21" s="205" t="s">
        <v>39</v>
      </c>
      <c r="G21" s="118" t="s">
        <v>39</v>
      </c>
      <c r="H21" s="206">
        <v>1939</v>
      </c>
      <c r="I21" s="119"/>
      <c r="J21" s="207" t="s">
        <v>39</v>
      </c>
      <c r="K21" s="120">
        <v>75</v>
      </c>
      <c r="L21" s="121"/>
      <c r="M21" s="122"/>
      <c r="N21" s="122"/>
      <c r="O21" s="123">
        <f t="shared" si="3"/>
        <v>0</v>
      </c>
      <c r="P21" s="121"/>
      <c r="Q21" s="122"/>
      <c r="R21" s="122"/>
      <c r="S21" s="123">
        <f t="shared" si="4"/>
        <v>0</v>
      </c>
      <c r="T21" s="124">
        <f t="shared" si="11"/>
        <v>0</v>
      </c>
      <c r="U21" s="112" t="str">
        <f t="shared" si="10"/>
        <v>REG -52</v>
      </c>
      <c r="V21" s="112" t="str">
        <f t="shared" si="5"/>
        <v>M80 -81</v>
      </c>
      <c r="W21" s="113">
        <f t="shared" si="6"/>
        <v>0</v>
      </c>
      <c r="X21" s="146">
        <f>IF(E21="","",W21*VLOOKUP(2019-H21,Masterh!C$17:D$72,2,FALSE))</f>
        <v>0</v>
      </c>
      <c r="Y21" s="114"/>
      <c r="AA21" s="39"/>
      <c r="AB21" s="34">
        <f>IF(E21="H",T21-HLOOKUP(V21,Masterh!$C$1:$CX$9,2,FALSE),T21-HLOOKUP(V21,Masterf!$C$1:$CD$9,2,FALSE))</f>
        <v>0</v>
      </c>
      <c r="AC21" s="34">
        <f>IF(E21="H",T21-HLOOKUP(V21,Masterh!$C$1:$CX$9,3,FALSE),T21-HLOOKUP(V21,Masterf!$C$1:$CD$9,3,FALSE))</f>
        <v>-52</v>
      </c>
      <c r="AD21" s="34">
        <f>IF(E21="H",T21-HLOOKUP(V21,Masterh!$C$1:$CX$9,4,FALSE),T21-HLOOKUP(V21,Masterf!$C$1:$CD$9,4,FALSE))</f>
        <v>-63</v>
      </c>
      <c r="AE21" s="34">
        <f>IF(E21="H",T21-HLOOKUP(V21,Masterh!$C$1:$CX$9,5,FALSE),T21-HLOOKUP(V21,Masterf!$C$1:$CD$9,5,FALSE))</f>
        <v>-69</v>
      </c>
      <c r="AF21" s="34">
        <f>IF(E21="H",T21-HLOOKUP(V21,Masterh!$C$1:$CX$9,6,FALSE),T21-HLOOKUP(V21,Masterf!$C$1:$CD$9,6,FALSE))</f>
        <v>-76</v>
      </c>
      <c r="AG21" s="34">
        <f>IF(E21="H",T21-HLOOKUP(V21,Masterh!$C$1:$CX$9,7,FALSE),T21-HLOOKUP(V21,Masterf!$C$1:$CD$9,7,FALSE))</f>
        <v>-1000</v>
      </c>
      <c r="AH21" s="34">
        <f>IF(E21="H",T21-HLOOKUP(V21,Masterh!$C$1:$CX$9,8,FALSE),T21-HLOOKUP(V21,Masterf!$C$1:$CD$9,8,FALSE))</f>
        <v>-1000</v>
      </c>
      <c r="AI21" s="34">
        <f>IF(E21="H",T21-HLOOKUP(V21,Masterh!$C$1:$CX$9,9,FALSE),T21-HLOOKUP(V21,Masterf!$C$1:$CD$9,9,FALSE))</f>
        <v>-1000</v>
      </c>
      <c r="AJ21" s="53" t="str">
        <f t="shared" si="7"/>
        <v>REG</v>
      </c>
      <c r="AK21" s="39"/>
      <c r="AL21" s="54" t="str">
        <f t="shared" si="8"/>
        <v>REG</v>
      </c>
      <c r="AM21" s="55">
        <f t="shared" si="9"/>
        <v>-52</v>
      </c>
      <c r="AN21" s="39" t="str">
        <f>IF(AND(H21&lt;1922),VLOOKUP(K21,Masterh!$F$11:$P$29,11),IF(AND(H21&gt;=1922,H21&lt;1940),VLOOKUP(K21,Masterh!$F$11:$P$29,11),IF(AND(H21&gt;=1940,H21&lt;1945),VLOOKUP(K21,Masterh!$F$11:$P$29,10),IF(AND(H21&gt;=1945,H21&lt;1950),VLOOKUP(K21,Masterh!$F$11:$P$29,9),IF(AND(H21&gt;=1950,H21&lt;1955),VLOOKUP(K21,Masterh!$F$11:$P$29,8),IF(AND(H21&gt;=1955,H21&lt;1960),VLOOKUP(K21,Masterh!$F$11:$P$29,7),IF(AND(H21&gt;=1960,H21&lt;1965),VLOOKUP(K21,Masterh!$F$11:$P$29,6),IF(AND(H21&gt;=1965,H21&lt;1970),VLOOKUP(K21,Masterh!$F$11:$P$29,5),IF(AND(H21&gt;=1970,H21&lt;1975),VLOOKUP(K21,Masterh!$F$11:$P$29,4),IF(AND(H21&gt;=1975,H21&lt;1980),VLOOKUP(K21,Masterh!$F$11:$P$29,3),IF(AND(H21&gt;=1980,H21&lt;1985),VLOOKUP(K21,Masterh!$F$11:$P$29,2),"SENIOR")))))))))))</f>
        <v>M80 -81</v>
      </c>
      <c r="AO21" s="39" t="str">
        <f>IF(AND(H21&lt;1950),VLOOKUP(K21,Masterf!$F$11:$N$25,9),IF(AND(H21&gt;=1950,H21&lt;1955),VLOOKUP(K21,Masterf!$F$11:$N$25,8),IF(AND(H21&gt;=1955,H21&lt;1960),VLOOKUP(K21,Masterf!$F$11:$N$25,7),IF(AND(H21&gt;=1960,H21&lt;1965),VLOOKUP(K21,Masterf!$F$11:$N$25,6),IF(AND(H21&gt;=1965,H21&lt;1970),VLOOKUP(K21,Masterf!$F$11:$N$25,5),IF(AND(H21&gt;=1970,H21&lt;1975),VLOOKUP(K21,Masterf!$F$11:$N$25,4),IF(AND(H21&gt;=1975,H21&lt;1980),VLOOKUP(K21,Masterf!$F$11:$N$25,3),IF(AND(H21&gt;=1980,H21&lt;1985),VLOOKUP(K21,Masterf!$F$11:$N$25,2),"SENIOR"))))))))</f>
        <v>W70 -76</v>
      </c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</row>
    <row r="22" spans="1:124" s="5" customFormat="1" ht="30" customHeight="1" thickBot="1" x14ac:dyDescent="0.25">
      <c r="B22" s="115"/>
      <c r="C22" s="116"/>
      <c r="D22" s="117"/>
      <c r="E22" s="104" t="s">
        <v>50</v>
      </c>
      <c r="F22" s="205" t="s">
        <v>39</v>
      </c>
      <c r="G22" s="118" t="s">
        <v>39</v>
      </c>
      <c r="H22" s="206">
        <v>1939</v>
      </c>
      <c r="I22" s="119"/>
      <c r="J22" s="207" t="s">
        <v>39</v>
      </c>
      <c r="K22" s="120">
        <v>75</v>
      </c>
      <c r="L22" s="121"/>
      <c r="M22" s="122"/>
      <c r="N22" s="122"/>
      <c r="O22" s="123">
        <f t="shared" si="3"/>
        <v>0</v>
      </c>
      <c r="P22" s="121"/>
      <c r="Q22" s="122"/>
      <c r="R22" s="122"/>
      <c r="S22" s="123">
        <f t="shared" si="4"/>
        <v>0</v>
      </c>
      <c r="T22" s="124">
        <f t="shared" si="11"/>
        <v>0</v>
      </c>
      <c r="U22" s="112" t="str">
        <f t="shared" si="10"/>
        <v>REG -52</v>
      </c>
      <c r="V22" s="112" t="str">
        <f t="shared" si="5"/>
        <v>M80 -81</v>
      </c>
      <c r="W22" s="113">
        <f t="shared" si="6"/>
        <v>0</v>
      </c>
      <c r="X22" s="201">
        <f>IF(E22="","",W22*VLOOKUP(2019-H22,Masterh!C$17:D$72,2,FALSE))</f>
        <v>0</v>
      </c>
      <c r="Y22" s="114"/>
      <c r="AA22" s="39"/>
      <c r="AB22" s="34">
        <f>IF(E22="H",T22-HLOOKUP(V22,Masterh!$C$1:$CX$9,2,FALSE),T22-HLOOKUP(V22,Masterf!$C$1:$CD$9,2,FALSE))</f>
        <v>0</v>
      </c>
      <c r="AC22" s="34">
        <f>IF(E22="H",T22-HLOOKUP(V22,Masterh!$C$1:$CX$9,3,FALSE),T22-HLOOKUP(V22,Masterf!$C$1:$CD$9,3,FALSE))</f>
        <v>-52</v>
      </c>
      <c r="AD22" s="34">
        <f>IF(E22="H",T22-HLOOKUP(V22,Masterh!$C$1:$CX$9,4,FALSE),T22-HLOOKUP(V22,Masterf!$C$1:$CD$9,4,FALSE))</f>
        <v>-63</v>
      </c>
      <c r="AE22" s="34">
        <f>IF(E22="H",T22-HLOOKUP(V22,Masterh!$C$1:$CX$9,5,FALSE),T22-HLOOKUP(V22,Masterf!$C$1:$CD$9,5,FALSE))</f>
        <v>-69</v>
      </c>
      <c r="AF22" s="34">
        <f>IF(E22="H",T22-HLOOKUP(V22,Masterh!$C$1:$CX$9,6,FALSE),T22-HLOOKUP(V22,Masterf!$C$1:$CD$9,6,FALSE))</f>
        <v>-76</v>
      </c>
      <c r="AG22" s="34">
        <f>IF(E22="H",T22-HLOOKUP(V22,Masterh!$C$1:$CX$9,7,FALSE),T22-HLOOKUP(V22,Masterf!$C$1:$CD$9,7,FALSE))</f>
        <v>-1000</v>
      </c>
      <c r="AH22" s="34">
        <f>IF(E22="H",T22-HLOOKUP(V22,Masterh!$C$1:$CX$9,8,FALSE),T22-HLOOKUP(V22,Masterf!$C$1:$CD$9,8,FALSE))</f>
        <v>-1000</v>
      </c>
      <c r="AI22" s="34">
        <f>IF(E22="H",T22-HLOOKUP(V22,Masterh!$C$1:$CX$9,9,FALSE),T22-HLOOKUP(V22,Masterf!$C$1:$CD$9,9,FALSE))</f>
        <v>-1000</v>
      </c>
      <c r="AJ22" s="53" t="str">
        <f t="shared" si="7"/>
        <v>REG</v>
      </c>
      <c r="AK22" s="39"/>
      <c r="AL22" s="54" t="str">
        <f t="shared" si="8"/>
        <v>REG</v>
      </c>
      <c r="AM22" s="55">
        <f t="shared" si="9"/>
        <v>-52</v>
      </c>
      <c r="AN22" s="39" t="str">
        <f>IF(AND(H22&lt;1922),VLOOKUP(K22,Masterh!$F$11:$P$29,11),IF(AND(H22&gt;=1922,H22&lt;1940),VLOOKUP(K22,Masterh!$F$11:$P$29,11),IF(AND(H22&gt;=1940,H22&lt;1945),VLOOKUP(K22,Masterh!$F$11:$P$29,10),IF(AND(H22&gt;=1945,H22&lt;1950),VLOOKUP(K22,Masterh!$F$11:$P$29,9),IF(AND(H22&gt;=1950,H22&lt;1955),VLOOKUP(K22,Masterh!$F$11:$P$29,8),IF(AND(H22&gt;=1955,H22&lt;1960),VLOOKUP(K22,Masterh!$F$11:$P$29,7),IF(AND(H22&gt;=1960,H22&lt;1965),VLOOKUP(K22,Masterh!$F$11:$P$29,6),IF(AND(H22&gt;=1965,H22&lt;1970),VLOOKUP(K22,Masterh!$F$11:$P$29,5),IF(AND(H22&gt;=1970,H22&lt;1975),VLOOKUP(K22,Masterh!$F$11:$P$29,4),IF(AND(H22&gt;=1975,H22&lt;1980),VLOOKUP(K22,Masterh!$F$11:$P$29,3),IF(AND(H22&gt;=1980,H22&lt;1985),VLOOKUP(K22,Masterh!$F$11:$P$29,2),"SENIOR")))))))))))</f>
        <v>M80 -81</v>
      </c>
      <c r="AO22" s="39" t="str">
        <f>IF(AND(H22&lt;1950),VLOOKUP(K22,Masterf!$F$11:$N$25,9),IF(AND(H22&gt;=1950,H22&lt;1955),VLOOKUP(K22,Masterf!$F$11:$N$25,8),IF(AND(H22&gt;=1955,H22&lt;1960),VLOOKUP(K22,Masterf!$F$11:$N$25,7),IF(AND(H22&gt;=1960,H22&lt;1965),VLOOKUP(K22,Masterf!$F$11:$N$25,6),IF(AND(H22&gt;=1965,H22&lt;1970),VLOOKUP(K22,Masterf!$F$11:$N$25,5),IF(AND(H22&gt;=1970,H22&lt;1975),VLOOKUP(K22,Masterf!$F$11:$N$25,4),IF(AND(H22&gt;=1975,H22&lt;1980),VLOOKUP(K22,Masterf!$F$11:$N$25,3),IF(AND(H22&gt;=1980,H22&lt;1985),VLOOKUP(K22,Masterf!$F$11:$N$25,2),"SENIOR"))))))))</f>
        <v>W70 -76</v>
      </c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</row>
    <row r="23" spans="1:124" s="9" customFormat="1" ht="5.0999999999999996" customHeight="1" x14ac:dyDescent="0.2">
      <c r="A23" s="8"/>
      <c r="B23" s="125"/>
      <c r="C23" s="126"/>
      <c r="D23" s="127"/>
      <c r="E23" s="127"/>
      <c r="F23" s="128"/>
      <c r="G23" s="129"/>
      <c r="H23" s="130"/>
      <c r="I23" s="131"/>
      <c r="J23" s="132"/>
      <c r="K23" s="133"/>
      <c r="L23" s="134"/>
      <c r="M23" s="134"/>
      <c r="N23" s="134"/>
      <c r="O23" s="135"/>
      <c r="P23" s="134"/>
      <c r="Q23" s="134"/>
      <c r="R23" s="134"/>
      <c r="S23" s="135"/>
      <c r="T23" s="135"/>
      <c r="U23" s="136"/>
      <c r="V23" s="128"/>
      <c r="W23" s="128"/>
      <c r="X23" s="128"/>
      <c r="Y23" s="7"/>
      <c r="Z23" s="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</row>
    <row r="24" spans="1:124" s="13" customFormat="1" ht="22.5" customHeight="1" x14ac:dyDescent="0.2">
      <c r="A24" s="12"/>
      <c r="B24" s="214" t="s">
        <v>16</v>
      </c>
      <c r="C24" s="215"/>
      <c r="D24" s="215"/>
      <c r="E24" s="215"/>
      <c r="F24" s="215"/>
      <c r="G24" s="215"/>
      <c r="H24" s="215"/>
      <c r="I24" s="215"/>
      <c r="J24" s="215"/>
      <c r="K24" s="215"/>
      <c r="L24" s="216"/>
      <c r="N24" s="15"/>
      <c r="O24" s="137" t="s">
        <v>72</v>
      </c>
      <c r="P24" s="138" t="s">
        <v>17</v>
      </c>
      <c r="Q24" s="223" t="s">
        <v>73</v>
      </c>
      <c r="R24" s="223"/>
      <c r="S24" s="223"/>
      <c r="T24" s="223"/>
      <c r="U24" s="223" t="s">
        <v>74</v>
      </c>
      <c r="V24" s="223"/>
      <c r="W24" s="224"/>
    </row>
    <row r="25" spans="1:124" s="14" customFormat="1" ht="22.5" customHeight="1" x14ac:dyDescent="0.2">
      <c r="A25" s="12"/>
      <c r="B25" s="217"/>
      <c r="C25" s="218"/>
      <c r="D25" s="218"/>
      <c r="E25" s="218"/>
      <c r="F25" s="218"/>
      <c r="G25" s="218"/>
      <c r="H25" s="218"/>
      <c r="I25" s="218"/>
      <c r="J25" s="218"/>
      <c r="K25" s="218"/>
      <c r="L25" s="219"/>
      <c r="N25" s="15"/>
      <c r="O25" s="139" t="s">
        <v>72</v>
      </c>
      <c r="P25" s="140" t="s">
        <v>18</v>
      </c>
      <c r="Q25" s="212" t="s">
        <v>73</v>
      </c>
      <c r="R25" s="212"/>
      <c r="S25" s="212"/>
      <c r="T25" s="212"/>
      <c r="U25" s="212" t="s">
        <v>74</v>
      </c>
      <c r="V25" s="212"/>
      <c r="W25" s="213"/>
    </row>
    <row r="26" spans="1:124" s="15" customFormat="1" ht="22.5" customHeight="1" x14ac:dyDescent="0.2">
      <c r="A26" s="12"/>
      <c r="B26" s="217"/>
      <c r="C26" s="218"/>
      <c r="D26" s="218"/>
      <c r="E26" s="218"/>
      <c r="F26" s="218"/>
      <c r="G26" s="218"/>
      <c r="H26" s="218"/>
      <c r="I26" s="218"/>
      <c r="J26" s="218"/>
      <c r="K26" s="218"/>
      <c r="L26" s="219"/>
      <c r="O26" s="139" t="s">
        <v>72</v>
      </c>
      <c r="P26" s="140" t="s">
        <v>19</v>
      </c>
      <c r="Q26" s="212" t="s">
        <v>73</v>
      </c>
      <c r="R26" s="212"/>
      <c r="S26" s="212"/>
      <c r="T26" s="212"/>
      <c r="U26" s="212" t="s">
        <v>74</v>
      </c>
      <c r="V26" s="212"/>
      <c r="W26" s="213"/>
      <c r="X26" s="13"/>
      <c r="Y26" s="13"/>
    </row>
    <row r="27" spans="1:124" s="15" customFormat="1" ht="22.5" customHeight="1" x14ac:dyDescent="0.2">
      <c r="A27" s="12"/>
      <c r="B27" s="217"/>
      <c r="C27" s="218"/>
      <c r="D27" s="218"/>
      <c r="E27" s="218"/>
      <c r="F27" s="218"/>
      <c r="G27" s="218"/>
      <c r="H27" s="218"/>
      <c r="I27" s="218"/>
      <c r="J27" s="218"/>
      <c r="K27" s="218"/>
      <c r="L27" s="219"/>
      <c r="O27" s="139" t="s">
        <v>72</v>
      </c>
      <c r="P27" s="140" t="s">
        <v>20</v>
      </c>
      <c r="Q27" s="212" t="s">
        <v>73</v>
      </c>
      <c r="R27" s="212"/>
      <c r="S27" s="212"/>
      <c r="T27" s="212"/>
      <c r="U27" s="212" t="s">
        <v>74</v>
      </c>
      <c r="V27" s="212"/>
      <c r="W27" s="213"/>
      <c r="X27" s="13"/>
      <c r="Y27" s="13"/>
    </row>
    <row r="28" spans="1:124" s="15" customFormat="1" ht="22.5" customHeight="1" x14ac:dyDescent="0.2">
      <c r="B28" s="217"/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O28" s="139" t="s">
        <v>72</v>
      </c>
      <c r="P28" s="140" t="s">
        <v>21</v>
      </c>
      <c r="Q28" s="212" t="s">
        <v>73</v>
      </c>
      <c r="R28" s="212"/>
      <c r="S28" s="212"/>
      <c r="T28" s="212"/>
      <c r="U28" s="212" t="s">
        <v>74</v>
      </c>
      <c r="V28" s="212"/>
      <c r="W28" s="213"/>
      <c r="X28" s="13"/>
      <c r="Y28" s="13"/>
    </row>
    <row r="29" spans="1:124" ht="22.5" customHeight="1" x14ac:dyDescent="0.2">
      <c r="A29" s="6"/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M29" s="15"/>
      <c r="N29" s="15"/>
      <c r="O29" s="139" t="s">
        <v>72</v>
      </c>
      <c r="P29" s="140" t="s">
        <v>22</v>
      </c>
      <c r="Q29" s="212" t="s">
        <v>73</v>
      </c>
      <c r="R29" s="212"/>
      <c r="S29" s="212"/>
      <c r="T29" s="212"/>
      <c r="U29" s="212" t="s">
        <v>74</v>
      </c>
      <c r="V29" s="212"/>
      <c r="W29" s="213"/>
    </row>
    <row r="30" spans="1:124" ht="22.5" customHeight="1" x14ac:dyDescent="0.2">
      <c r="A30" s="6"/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M30" s="15"/>
      <c r="N30" s="15"/>
      <c r="O30" s="139" t="s">
        <v>72</v>
      </c>
      <c r="P30" s="140" t="s">
        <v>23</v>
      </c>
      <c r="Q30" s="212" t="s">
        <v>73</v>
      </c>
      <c r="R30" s="212"/>
      <c r="S30" s="212"/>
      <c r="T30" s="212"/>
      <c r="U30" s="212" t="s">
        <v>74</v>
      </c>
      <c r="V30" s="212"/>
      <c r="W30" s="213"/>
    </row>
    <row r="31" spans="1:124" ht="22.5" customHeight="1" x14ac:dyDescent="0.2">
      <c r="A31" s="6"/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15"/>
      <c r="N31" s="15"/>
      <c r="O31" s="141" t="s">
        <v>72</v>
      </c>
      <c r="P31" s="142" t="s">
        <v>24</v>
      </c>
      <c r="Q31" s="225" t="s">
        <v>73</v>
      </c>
      <c r="R31" s="225"/>
      <c r="S31" s="225"/>
      <c r="T31" s="225"/>
      <c r="U31" s="225" t="s">
        <v>74</v>
      </c>
      <c r="V31" s="225"/>
      <c r="W31" s="226"/>
    </row>
    <row r="32" spans="1:124" s="15" customFormat="1" ht="10.15" customHeight="1" x14ac:dyDescent="0.2">
      <c r="P32" s="12"/>
      <c r="Y32" s="13"/>
    </row>
    <row r="33" spans="1:15" x14ac:dyDescent="0.2">
      <c r="A33" s="6"/>
      <c r="O33" s="1"/>
    </row>
    <row r="34" spans="1:15" x14ac:dyDescent="0.2">
      <c r="A34" s="6"/>
    </row>
  </sheetData>
  <mergeCells count="24">
    <mergeCell ref="D2:K2"/>
    <mergeCell ref="N2:S2"/>
    <mergeCell ref="D3:K3"/>
    <mergeCell ref="N3:S3"/>
    <mergeCell ref="F5:G5"/>
    <mergeCell ref="B24:L31"/>
    <mergeCell ref="Q24:T24"/>
    <mergeCell ref="U24:W24"/>
    <mergeCell ref="Q25:T25"/>
    <mergeCell ref="U25:W25"/>
    <mergeCell ref="Q26:T26"/>
    <mergeCell ref="U26:W26"/>
    <mergeCell ref="Q27:T27"/>
    <mergeCell ref="U27:W27"/>
    <mergeCell ref="Q31:T31"/>
    <mergeCell ref="U31:W31"/>
    <mergeCell ref="Q30:T30"/>
    <mergeCell ref="U30:W30"/>
    <mergeCell ref="V2:X2"/>
    <mergeCell ref="V3:X3"/>
    <mergeCell ref="Q28:T28"/>
    <mergeCell ref="U28:W28"/>
    <mergeCell ref="Q29:T29"/>
    <mergeCell ref="U29:W29"/>
  </mergeCells>
  <conditionalFormatting sqref="L7:N19 P7:R19">
    <cfRule type="cellIs" dxfId="1" priority="2" operator="lessThan">
      <formula>0</formula>
    </cfRule>
  </conditionalFormatting>
  <conditionalFormatting sqref="P20:R22 L20:N22">
    <cfRule type="cellIs" dxfId="0" priority="1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O7:O22" formulaRange="1"/>
    <ignoredError sqref="AB7:AP22 AB23:AP23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Masterf</vt:lpstr>
      <vt:lpstr>Masterh</vt:lpstr>
      <vt:lpstr>INDIVIDUEL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2017-10-14T13:20:55Z</cp:lastPrinted>
  <dcterms:created xsi:type="dcterms:W3CDTF">2004-10-09T07:29:01Z</dcterms:created>
  <dcterms:modified xsi:type="dcterms:W3CDTF">2019-01-01T10:01:36Z</dcterms:modified>
</cp:coreProperties>
</file>