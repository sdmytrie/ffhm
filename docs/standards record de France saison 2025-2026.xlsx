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<sst xmlns="http://schemas.openxmlformats.org/spreadsheetml/2006/main" count="107" uniqueCount="35">
  <si>
    <t xml:space="preserve">STANDARDS RECORD DE FRANCE HALTEROPHILIE                                               AU 01 SEPTEMBRE 2025</t>
  </si>
  <si>
    <t xml:space="preserve">FEMININES</t>
  </si>
  <si>
    <t xml:space="preserve">MASCULINS</t>
  </si>
  <si>
    <t xml:space="preserve">SENIORS</t>
  </si>
  <si>
    <t xml:space="preserve">Catégorie de pois de corps</t>
  </si>
  <si>
    <t xml:space="preserve">Arraché</t>
  </si>
  <si>
    <t xml:space="preserve">Ep/jeté</t>
  </si>
  <si>
    <t xml:space="preserve">total</t>
  </si>
  <si>
    <t xml:space="preserve">48 Kg</t>
  </si>
  <si>
    <t xml:space="preserve">60 Kg</t>
  </si>
  <si>
    <t xml:space="preserve">53 Kg</t>
  </si>
  <si>
    <t xml:space="preserve">65 Kg</t>
  </si>
  <si>
    <t xml:space="preserve">58 Kg</t>
  </si>
  <si>
    <t xml:space="preserve">71 Kg</t>
  </si>
  <si>
    <t xml:space="preserve">63 Kg</t>
  </si>
  <si>
    <t xml:space="preserve">79 Kg</t>
  </si>
  <si>
    <t xml:space="preserve">69 Kg</t>
  </si>
  <si>
    <t xml:space="preserve">88 Kg</t>
  </si>
  <si>
    <t xml:space="preserve">77 Kg</t>
  </si>
  <si>
    <t xml:space="preserve">94 Kg</t>
  </si>
  <si>
    <t xml:space="preserve">86 Kg</t>
  </si>
  <si>
    <t xml:space="preserve">110 Kg</t>
  </si>
  <si>
    <t xml:space="preserve">&gt; 86 Kg</t>
  </si>
  <si>
    <t xml:space="preserve">&gt;110Kg</t>
  </si>
  <si>
    <t xml:space="preserve">U20</t>
  </si>
  <si>
    <t xml:space="preserve">U17</t>
  </si>
  <si>
    <t xml:space="preserve">44 Kg</t>
  </si>
  <si>
    <t xml:space="preserve">56 Kg</t>
  </si>
  <si>
    <t xml:space="preserve">&gt;77 Kg</t>
  </si>
  <si>
    <t xml:space="preserve">&gt;94 Kg</t>
  </si>
  <si>
    <t xml:space="preserve">U15</t>
  </si>
  <si>
    <t xml:space="preserve">40 Kg</t>
  </si>
  <si>
    <t xml:space="preserve">52 Kg</t>
  </si>
  <si>
    <t xml:space="preserve">&gt;69 Kg</t>
  </si>
  <si>
    <t xml:space="preserve">&gt;88 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</si>
</sst>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name val="Calibri"/>
      <family val="2"/>
      <charset val="1"/>
    </font>
    <font>
      <b val="true"/>
      <sz val="20"/>
      <color theme="0"/>
      <name val="Calibri"/>
      <family val="2"/>
      <charset val="1"/>
    </font>
    <font>
      <b val="true"/>
      <sz val="16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FBE5D6"/>
      </patternFill>
    </fill>
    <fill>
      <patternFill patternType="solid">
        <fgColor rgb="FFFF66FF"/>
        <bgColor rgb="FFFF8080"/>
      </patternFill>
    </fill>
    <fill>
      <patternFill patternType="solid">
        <fgColor rgb="FF3366FF"/>
        <bgColor rgb="FF0066CC"/>
      </patternFill>
    </fill>
    <fill>
      <patternFill patternType="solid">
        <fgColor theme="5" tint="0.7999"/>
        <bgColor rgb="FFE2F0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66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4296875" defaultRowHeight="15" customHeight="true" zeroHeight="false" outlineLevelRow="0" outlineLevelCol="0"/>
  <cols>
    <col collapsed="false" customWidth="true" hidden="false" outlineLevel="0" max="9" min="1" style="1" width="14.43"/>
    <col collapsed="false" customWidth="false" hidden="false" outlineLevel="0" max="16384" min="10" style="1" width="11.43"/>
  </cols>
  <sheetData>
    <row r="1" customFormat="false" ht="6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3"/>
      <c r="C2" s="3"/>
      <c r="D2" s="3"/>
      <c r="F2" s="4" t="s">
        <v>2</v>
      </c>
      <c r="G2" s="4"/>
      <c r="H2" s="4"/>
      <c r="I2" s="4"/>
    </row>
    <row r="3" customFormat="false" ht="16.5" hidden="false" customHeight="true" outlineLevel="0" collapsed="false"/>
    <row r="4" customFormat="false" ht="19.7" hidden="false" customHeight="false" outlineLevel="0" collapsed="false">
      <c r="A4" s="5" t="s">
        <v>3</v>
      </c>
      <c r="B4" s="5"/>
      <c r="C4" s="5"/>
      <c r="D4" s="5"/>
      <c r="F4" s="6" t="s">
        <v>3</v>
      </c>
      <c r="G4" s="6"/>
      <c r="H4" s="6"/>
      <c r="I4" s="6"/>
    </row>
    <row r="5" customFormat="false" ht="34.5" hidden="false" customHeight="true" outlineLevel="0" collapsed="false">
      <c r="A5" s="7" t="s">
        <v>4</v>
      </c>
      <c r="B5" s="8" t="s">
        <v>5</v>
      </c>
      <c r="C5" s="8" t="s">
        <v>6</v>
      </c>
      <c r="D5" s="9" t="s">
        <v>7</v>
      </c>
      <c r="F5" s="10" t="s">
        <v>4</v>
      </c>
      <c r="G5" s="11" t="s">
        <v>5</v>
      </c>
      <c r="H5" s="11" t="s">
        <v>6</v>
      </c>
      <c r="I5" s="12" t="s">
        <v>7</v>
      </c>
    </row>
    <row r="6" customFormat="false" ht="21.75" hidden="false" customHeight="true" outlineLevel="0" collapsed="false">
      <c r="A6" s="13" t="s">
        <v>8</v>
      </c>
      <c r="B6" s="14" t="n">
        <f aca="false">+D6-C6</f>
        <v>61.16</v>
      </c>
      <c r="C6" s="14" t="n">
        <f aca="false">+D6/100*56</f>
        <v>77.84</v>
      </c>
      <c r="D6" s="15" t="n">
        <v>139</v>
      </c>
      <c r="E6" s="16"/>
      <c r="F6" s="13" t="s">
        <v>9</v>
      </c>
      <c r="G6" s="14" t="n">
        <f aca="false">+I6-H6</f>
        <v>95.48</v>
      </c>
      <c r="H6" s="14" t="n">
        <f aca="false">+I6/100*56</f>
        <v>121.52</v>
      </c>
      <c r="I6" s="15" t="n">
        <v>217</v>
      </c>
    </row>
    <row r="7" customFormat="false" ht="21.75" hidden="false" customHeight="true" outlineLevel="0" collapsed="false">
      <c r="A7" s="17" t="s">
        <v>10</v>
      </c>
      <c r="B7" s="18" t="n">
        <f aca="false">+D7-C7</f>
        <v>64.68</v>
      </c>
      <c r="C7" s="18" t="n">
        <f aca="false">+D7/100*56</f>
        <v>82.32</v>
      </c>
      <c r="D7" s="19" t="n">
        <v>147</v>
      </c>
      <c r="E7" s="16"/>
      <c r="F7" s="17" t="s">
        <v>11</v>
      </c>
      <c r="G7" s="18" t="n">
        <f aca="false">+I7-H7</f>
        <v>100.76</v>
      </c>
      <c r="H7" s="18" t="n">
        <f aca="false">+I7/100*56</f>
        <v>128.24</v>
      </c>
      <c r="I7" s="19" t="n">
        <v>229</v>
      </c>
    </row>
    <row r="8" customFormat="false" ht="21.75" hidden="false" customHeight="true" outlineLevel="0" collapsed="false">
      <c r="A8" s="13" t="s">
        <v>12</v>
      </c>
      <c r="B8" s="14" t="n">
        <f aca="false">+D8-C8</f>
        <v>71.28</v>
      </c>
      <c r="C8" s="14" t="n">
        <f aca="false">+D8/100*56</f>
        <v>90.72</v>
      </c>
      <c r="D8" s="15" t="n">
        <v>162</v>
      </c>
      <c r="E8" s="16"/>
      <c r="F8" s="13" t="s">
        <v>13</v>
      </c>
      <c r="G8" s="14" t="n">
        <f aca="false">+I8-H8</f>
        <v>108.68</v>
      </c>
      <c r="H8" s="14" t="n">
        <f aca="false">+I8/100*56</f>
        <v>138.32</v>
      </c>
      <c r="I8" s="15" t="n">
        <v>247</v>
      </c>
    </row>
    <row r="9" customFormat="false" ht="21.75" hidden="false" customHeight="true" outlineLevel="0" collapsed="false">
      <c r="A9" s="17" t="s">
        <v>14</v>
      </c>
      <c r="B9" s="18" t="n">
        <f aca="false">+D9-C9</f>
        <v>74.36</v>
      </c>
      <c r="C9" s="18" t="n">
        <f aca="false">+D9/100*56</f>
        <v>94.64</v>
      </c>
      <c r="D9" s="19" t="n">
        <v>169</v>
      </c>
      <c r="E9" s="16"/>
      <c r="F9" s="17" t="s">
        <v>15</v>
      </c>
      <c r="G9" s="18" t="n">
        <f aca="false">+I9-H9</f>
        <v>114.4</v>
      </c>
      <c r="H9" s="18" t="n">
        <f aca="false">+I9/100*56</f>
        <v>145.6</v>
      </c>
      <c r="I9" s="19" t="n">
        <v>260</v>
      </c>
    </row>
    <row r="10" customFormat="false" ht="21.75" hidden="false" customHeight="true" outlineLevel="0" collapsed="false">
      <c r="A10" s="13" t="s">
        <v>16</v>
      </c>
      <c r="B10" s="14" t="n">
        <f aca="false">+D10-C10</f>
        <v>77.44</v>
      </c>
      <c r="C10" s="14" t="n">
        <f aca="false">+D10/100*56</f>
        <v>98.56</v>
      </c>
      <c r="D10" s="15" t="n">
        <v>176</v>
      </c>
      <c r="E10" s="16"/>
      <c r="F10" s="13" t="s">
        <v>17</v>
      </c>
      <c r="G10" s="14" t="n">
        <f aca="false">+I10-H10</f>
        <v>123.2</v>
      </c>
      <c r="H10" s="14" t="n">
        <f aca="false">+I10/100*56</f>
        <v>156.8</v>
      </c>
      <c r="I10" s="15" t="n">
        <v>280</v>
      </c>
    </row>
    <row r="11" customFormat="false" ht="21.75" hidden="false" customHeight="true" outlineLevel="0" collapsed="false">
      <c r="A11" s="17" t="s">
        <v>18</v>
      </c>
      <c r="B11" s="18" t="n">
        <f aca="false">+D11-C11</f>
        <v>80.08</v>
      </c>
      <c r="C11" s="18" t="n">
        <f aca="false">+D11/100*56</f>
        <v>101.92</v>
      </c>
      <c r="D11" s="19" t="n">
        <v>182</v>
      </c>
      <c r="E11" s="16"/>
      <c r="F11" s="17" t="s">
        <v>19</v>
      </c>
      <c r="G11" s="18" t="n">
        <f aca="false">+I11-H11</f>
        <v>125.4</v>
      </c>
      <c r="H11" s="18" t="n">
        <f aca="false">+I11/100*56</f>
        <v>159.6</v>
      </c>
      <c r="I11" s="19" t="n">
        <v>285</v>
      </c>
    </row>
    <row r="12" customFormat="false" ht="21.75" hidden="false" customHeight="true" outlineLevel="0" collapsed="false">
      <c r="A12" s="13" t="s">
        <v>20</v>
      </c>
      <c r="B12" s="14" t="n">
        <f aca="false">+D12-C12</f>
        <v>82.72</v>
      </c>
      <c r="C12" s="14" t="n">
        <f aca="false">+D12/100*56</f>
        <v>105.28</v>
      </c>
      <c r="D12" s="15" t="n">
        <v>188</v>
      </c>
      <c r="E12" s="16"/>
      <c r="F12" s="13" t="s">
        <v>21</v>
      </c>
      <c r="G12" s="14" t="n">
        <f aca="false">+I12-H12</f>
        <v>130.68</v>
      </c>
      <c r="H12" s="14" t="n">
        <f aca="false">+I12/100*56</f>
        <v>166.32</v>
      </c>
      <c r="I12" s="15" t="n">
        <v>297</v>
      </c>
    </row>
    <row r="13" customFormat="false" ht="21.75" hidden="false" customHeight="true" outlineLevel="0" collapsed="false">
      <c r="A13" s="20" t="s">
        <v>22</v>
      </c>
      <c r="B13" s="21" t="n">
        <f aca="false">+D13-C13</f>
        <v>88</v>
      </c>
      <c r="C13" s="21" t="n">
        <f aca="false">+D13/100*56</f>
        <v>112</v>
      </c>
      <c r="D13" s="22" t="n">
        <v>200</v>
      </c>
      <c r="E13" s="16"/>
      <c r="F13" s="20" t="s">
        <v>23</v>
      </c>
      <c r="G13" s="21" t="n">
        <f aca="false">+I13-H13</f>
        <v>139.04</v>
      </c>
      <c r="H13" s="21" t="n">
        <f aca="false">+I13/100*56</f>
        <v>176.96</v>
      </c>
      <c r="I13" s="22" t="n">
        <v>316</v>
      </c>
    </row>
    <row r="15" customFormat="false" ht="19.7" hidden="false" customHeight="false" outlineLevel="0" collapsed="false">
      <c r="A15" s="5" t="s">
        <v>24</v>
      </c>
      <c r="B15" s="5"/>
      <c r="C15" s="5"/>
      <c r="D15" s="5"/>
      <c r="F15" s="6" t="s">
        <v>24</v>
      </c>
      <c r="G15" s="6"/>
      <c r="H15" s="6"/>
      <c r="I15" s="6"/>
    </row>
    <row r="16" customFormat="false" ht="34.5" hidden="false" customHeight="true" outlineLevel="0" collapsed="false">
      <c r="A16" s="7" t="s">
        <v>4</v>
      </c>
      <c r="B16" s="8" t="s">
        <v>5</v>
      </c>
      <c r="C16" s="8" t="s">
        <v>6</v>
      </c>
      <c r="D16" s="9" t="s">
        <v>7</v>
      </c>
      <c r="F16" s="10" t="s">
        <v>4</v>
      </c>
      <c r="G16" s="11" t="s">
        <v>5</v>
      </c>
      <c r="H16" s="11" t="s">
        <v>6</v>
      </c>
      <c r="I16" s="12" t="s">
        <v>7</v>
      </c>
    </row>
    <row r="17" customFormat="false" ht="21.75" hidden="false" customHeight="true" outlineLevel="0" collapsed="false">
      <c r="A17" s="13" t="s">
        <v>8</v>
      </c>
      <c r="B17" s="14" t="n">
        <f aca="false">+D17-C17</f>
        <v>57.64</v>
      </c>
      <c r="C17" s="14" t="n">
        <f aca="false">+D17/100*56</f>
        <v>73.36</v>
      </c>
      <c r="D17" s="15" t="n">
        <v>131</v>
      </c>
      <c r="F17" s="13" t="s">
        <v>9</v>
      </c>
      <c r="G17" s="14" t="n">
        <f aca="false">+I17-H17</f>
        <v>89.32</v>
      </c>
      <c r="H17" s="14" t="n">
        <f aca="false">+I17/100*56</f>
        <v>113.68</v>
      </c>
      <c r="I17" s="15" t="n">
        <v>203</v>
      </c>
    </row>
    <row r="18" customFormat="false" ht="21.75" hidden="false" customHeight="true" outlineLevel="0" collapsed="false">
      <c r="A18" s="17" t="s">
        <v>10</v>
      </c>
      <c r="B18" s="18" t="n">
        <f aca="false">+D18-C18</f>
        <v>60.72</v>
      </c>
      <c r="C18" s="18" t="n">
        <f aca="false">+D18/100*56</f>
        <v>77.28</v>
      </c>
      <c r="D18" s="19" t="n">
        <v>138</v>
      </c>
      <c r="F18" s="17" t="s">
        <v>11</v>
      </c>
      <c r="G18" s="18" t="n">
        <f aca="false">+I18-H18</f>
        <v>94.6</v>
      </c>
      <c r="H18" s="18" t="n">
        <f aca="false">+I18/100*56</f>
        <v>120.4</v>
      </c>
      <c r="I18" s="19" t="n">
        <v>215</v>
      </c>
    </row>
    <row r="19" customFormat="false" ht="21.75" hidden="false" customHeight="true" outlineLevel="0" collapsed="false">
      <c r="A19" s="13" t="s">
        <v>12</v>
      </c>
      <c r="B19" s="14" t="n">
        <f aca="false">+D19-C19</f>
        <v>66.88</v>
      </c>
      <c r="C19" s="14" t="n">
        <f aca="false">+D19/100*56</f>
        <v>85.12</v>
      </c>
      <c r="D19" s="15" t="n">
        <v>152</v>
      </c>
      <c r="F19" s="13" t="s">
        <v>13</v>
      </c>
      <c r="G19" s="14" t="n">
        <f aca="false">+I19-H19</f>
        <v>102.08</v>
      </c>
      <c r="H19" s="14" t="n">
        <f aca="false">+I19/100*56</f>
        <v>129.92</v>
      </c>
      <c r="I19" s="15" t="n">
        <v>232</v>
      </c>
    </row>
    <row r="20" customFormat="false" ht="21.75" hidden="false" customHeight="true" outlineLevel="0" collapsed="false">
      <c r="A20" s="17" t="s">
        <v>14</v>
      </c>
      <c r="B20" s="18" t="n">
        <f aca="false">+D20-C20</f>
        <v>69.52</v>
      </c>
      <c r="C20" s="18" t="n">
        <f aca="false">+D20/100*56</f>
        <v>88.48</v>
      </c>
      <c r="D20" s="19" t="n">
        <v>158</v>
      </c>
      <c r="F20" s="17" t="s">
        <v>15</v>
      </c>
      <c r="G20" s="18" t="n">
        <f aca="false">+I20-H20</f>
        <v>107.36</v>
      </c>
      <c r="H20" s="18" t="n">
        <f aca="false">+I20/100*56</f>
        <v>136.64</v>
      </c>
      <c r="I20" s="19" t="n">
        <v>244</v>
      </c>
    </row>
    <row r="21" customFormat="false" ht="21.75" hidden="false" customHeight="true" outlineLevel="0" collapsed="false">
      <c r="A21" s="13" t="s">
        <v>16</v>
      </c>
      <c r="B21" s="14" t="n">
        <f aca="false">+D21-C21</f>
        <v>72.6</v>
      </c>
      <c r="C21" s="14" t="n">
        <f aca="false">+D21/100*56</f>
        <v>92.4</v>
      </c>
      <c r="D21" s="15" t="n">
        <v>165</v>
      </c>
      <c r="F21" s="13" t="s">
        <v>17</v>
      </c>
      <c r="G21" s="14" t="n">
        <f aca="false">+I21-H21</f>
        <v>115.72</v>
      </c>
      <c r="H21" s="14" t="n">
        <f aca="false">+I21/100*56</f>
        <v>147.28</v>
      </c>
      <c r="I21" s="15" t="n">
        <v>263</v>
      </c>
    </row>
    <row r="22" customFormat="false" ht="21.75" hidden="false" customHeight="true" outlineLevel="0" collapsed="false">
      <c r="A22" s="17" t="s">
        <v>18</v>
      </c>
      <c r="B22" s="18" t="n">
        <f aca="false">+D22-C22</f>
        <v>75.24</v>
      </c>
      <c r="C22" s="18" t="n">
        <f aca="false">+D22/100*56</f>
        <v>95.76</v>
      </c>
      <c r="D22" s="19" t="n">
        <v>171</v>
      </c>
      <c r="F22" s="17" t="s">
        <v>19</v>
      </c>
      <c r="G22" s="18" t="n">
        <f aca="false">+I22-H22</f>
        <v>117.48</v>
      </c>
      <c r="H22" s="18" t="n">
        <f aca="false">+I22/100*56</f>
        <v>149.52</v>
      </c>
      <c r="I22" s="19" t="n">
        <v>267</v>
      </c>
    </row>
    <row r="23" customFormat="false" ht="21.75" hidden="false" customHeight="true" outlineLevel="0" collapsed="false">
      <c r="A23" s="13" t="s">
        <v>20</v>
      </c>
      <c r="B23" s="14" t="n">
        <f aca="false">+D23-C23</f>
        <v>77.44</v>
      </c>
      <c r="C23" s="14" t="n">
        <f aca="false">+D23/100*56</f>
        <v>98.56</v>
      </c>
      <c r="D23" s="15" t="n">
        <v>176</v>
      </c>
      <c r="F23" s="13" t="s">
        <v>21</v>
      </c>
      <c r="G23" s="14" t="n">
        <f aca="false">+I23-H23</f>
        <v>122.32</v>
      </c>
      <c r="H23" s="14" t="n">
        <f aca="false">+I23/100*56</f>
        <v>155.68</v>
      </c>
      <c r="I23" s="15" t="n">
        <v>278</v>
      </c>
    </row>
    <row r="24" customFormat="false" ht="21.75" hidden="false" customHeight="true" outlineLevel="0" collapsed="false">
      <c r="A24" s="20" t="s">
        <v>22</v>
      </c>
      <c r="B24" s="21" t="n">
        <f aca="false">+D24-C24</f>
        <v>82.72</v>
      </c>
      <c r="C24" s="21" t="n">
        <f aca="false">+D24/100*56</f>
        <v>105.28</v>
      </c>
      <c r="D24" s="22" t="n">
        <v>188</v>
      </c>
      <c r="F24" s="20" t="s">
        <v>23</v>
      </c>
      <c r="G24" s="21" t="n">
        <f aca="false">+I24-H24</f>
        <v>130.24</v>
      </c>
      <c r="H24" s="21" t="n">
        <f aca="false">+I24/100*56</f>
        <v>165.76</v>
      </c>
      <c r="I24" s="22" t="n">
        <v>296</v>
      </c>
    </row>
    <row r="25" customFormat="false" ht="15.75" hidden="false" customHeight="true" outlineLevel="0" collapsed="false"/>
    <row r="26" customFormat="false" ht="19.7" hidden="false" customHeight="false" outlineLevel="0" collapsed="false">
      <c r="A26" s="5" t="s">
        <v>25</v>
      </c>
      <c r="B26" s="5"/>
      <c r="C26" s="5"/>
      <c r="D26" s="5"/>
      <c r="F26" s="6" t="s">
        <v>25</v>
      </c>
      <c r="G26" s="6"/>
      <c r="H26" s="6"/>
      <c r="I26" s="6"/>
    </row>
    <row r="27" customFormat="false" ht="34.5" hidden="false" customHeight="true" outlineLevel="0" collapsed="false">
      <c r="A27" s="7" t="s">
        <v>4</v>
      </c>
      <c r="B27" s="8" t="s">
        <v>5</v>
      </c>
      <c r="C27" s="8" t="s">
        <v>6</v>
      </c>
      <c r="D27" s="9" t="s">
        <v>7</v>
      </c>
      <c r="F27" s="10" t="s">
        <v>4</v>
      </c>
      <c r="G27" s="11" t="s">
        <v>5</v>
      </c>
      <c r="H27" s="11" t="s">
        <v>6</v>
      </c>
      <c r="I27" s="12" t="s">
        <v>7</v>
      </c>
    </row>
    <row r="28" customFormat="false" ht="21.75" hidden="false" customHeight="true" outlineLevel="0" collapsed="false">
      <c r="A28" s="13" t="s">
        <v>26</v>
      </c>
      <c r="B28" s="14" t="n">
        <f aca="false">+D28-C28</f>
        <v>44.88</v>
      </c>
      <c r="C28" s="14" t="n">
        <f aca="false">+D28/100*56</f>
        <v>57.12</v>
      </c>
      <c r="D28" s="15" t="n">
        <v>102</v>
      </c>
      <c r="F28" s="13" t="s">
        <v>27</v>
      </c>
      <c r="G28" s="14" t="n">
        <f aca="false">+I28-H28</f>
        <v>69.52</v>
      </c>
      <c r="H28" s="14" t="n">
        <f aca="false">+I28/100*56</f>
        <v>88.48</v>
      </c>
      <c r="I28" s="15" t="n">
        <v>158</v>
      </c>
    </row>
    <row r="29" customFormat="false" ht="21.75" hidden="false" customHeight="true" outlineLevel="0" collapsed="false">
      <c r="A29" s="17" t="s">
        <v>8</v>
      </c>
      <c r="B29" s="18" t="n">
        <f aca="false">+D29-C29</f>
        <v>49.72</v>
      </c>
      <c r="C29" s="18" t="n">
        <f aca="false">+D29/100*56</f>
        <v>63.28</v>
      </c>
      <c r="D29" s="19" t="n">
        <v>113</v>
      </c>
      <c r="F29" s="17" t="s">
        <v>9</v>
      </c>
      <c r="G29" s="18" t="n">
        <f aca="false">+I29-H29</f>
        <v>77.44</v>
      </c>
      <c r="H29" s="18" t="n">
        <f aca="false">+I29/100*56</f>
        <v>98.56</v>
      </c>
      <c r="I29" s="19" t="n">
        <v>176</v>
      </c>
    </row>
    <row r="30" customFormat="false" ht="21.75" hidden="false" customHeight="true" outlineLevel="0" collapsed="false">
      <c r="A30" s="13" t="s">
        <v>10</v>
      </c>
      <c r="B30" s="14" t="n">
        <f aca="false">+D30-C30</f>
        <v>52.8</v>
      </c>
      <c r="C30" s="14" t="n">
        <f aca="false">+D30/100*56</f>
        <v>67.2</v>
      </c>
      <c r="D30" s="15" t="n">
        <v>120</v>
      </c>
      <c r="F30" s="13" t="s">
        <v>11</v>
      </c>
      <c r="G30" s="14" t="n">
        <f aca="false">+I30-H30</f>
        <v>81.84</v>
      </c>
      <c r="H30" s="14" t="n">
        <f aca="false">+I30/100*56</f>
        <v>104.16</v>
      </c>
      <c r="I30" s="15" t="n">
        <v>186</v>
      </c>
    </row>
    <row r="31" customFormat="false" ht="21.75" hidden="false" customHeight="true" outlineLevel="0" collapsed="false">
      <c r="A31" s="17" t="s">
        <v>12</v>
      </c>
      <c r="B31" s="18" t="n">
        <f aca="false">+D31-C31</f>
        <v>58.08</v>
      </c>
      <c r="C31" s="18" t="n">
        <f aca="false">+D31/100*56</f>
        <v>73.92</v>
      </c>
      <c r="D31" s="19" t="n">
        <v>132</v>
      </c>
      <c r="F31" s="17" t="s">
        <v>13</v>
      </c>
      <c r="G31" s="18" t="n">
        <f aca="false">+I31-H31</f>
        <v>88.44</v>
      </c>
      <c r="H31" s="18" t="n">
        <f aca="false">+I31/100*56</f>
        <v>112.56</v>
      </c>
      <c r="I31" s="19" t="n">
        <v>201</v>
      </c>
    </row>
    <row r="32" customFormat="false" ht="21.75" hidden="false" customHeight="true" outlineLevel="0" collapsed="false">
      <c r="A32" s="13" t="s">
        <v>14</v>
      </c>
      <c r="B32" s="14" t="n">
        <f aca="false">+D32-C32</f>
        <v>60.28</v>
      </c>
      <c r="C32" s="14" t="n">
        <f aca="false">+D32/100*56</f>
        <v>76.72</v>
      </c>
      <c r="D32" s="15" t="n">
        <v>137</v>
      </c>
      <c r="F32" s="13" t="s">
        <v>15</v>
      </c>
      <c r="G32" s="14" t="n">
        <f aca="false">+I32-H32</f>
        <v>92.84</v>
      </c>
      <c r="H32" s="14" t="n">
        <f aca="false">+I32/100*56</f>
        <v>118.16</v>
      </c>
      <c r="I32" s="15" t="n">
        <v>211</v>
      </c>
    </row>
    <row r="33" customFormat="false" ht="21.75" hidden="false" customHeight="true" outlineLevel="0" collapsed="false">
      <c r="A33" s="17" t="s">
        <v>16</v>
      </c>
      <c r="B33" s="18" t="n">
        <f aca="false">+D33-C33</f>
        <v>62.92</v>
      </c>
      <c r="C33" s="18" t="n">
        <f aca="false">+D33/100*56</f>
        <v>80.08</v>
      </c>
      <c r="D33" s="19" t="n">
        <v>143</v>
      </c>
      <c r="F33" s="17" t="s">
        <v>17</v>
      </c>
      <c r="G33" s="18" t="n">
        <f aca="false">+I33-H33</f>
        <v>100.32</v>
      </c>
      <c r="H33" s="18" t="n">
        <f aca="false">+I33/100*56</f>
        <v>127.68</v>
      </c>
      <c r="I33" s="19" t="n">
        <v>228</v>
      </c>
    </row>
    <row r="34" customFormat="false" ht="21.75" hidden="false" customHeight="true" outlineLevel="0" collapsed="false">
      <c r="A34" s="13" t="s">
        <v>18</v>
      </c>
      <c r="B34" s="14" t="n">
        <f aca="false">+D34-C34</f>
        <v>65.12</v>
      </c>
      <c r="C34" s="14" t="n">
        <f aca="false">+D34/100*56</f>
        <v>82.88</v>
      </c>
      <c r="D34" s="15" t="n">
        <v>148</v>
      </c>
      <c r="F34" s="13" t="s">
        <v>19</v>
      </c>
      <c r="G34" s="14" t="n">
        <f aca="false">+I34-H34</f>
        <v>101.64</v>
      </c>
      <c r="H34" s="14" t="n">
        <f aca="false">+I34/100*56</f>
        <v>129.36</v>
      </c>
      <c r="I34" s="15" t="n">
        <v>231</v>
      </c>
    </row>
    <row r="35" customFormat="false" ht="21.75" hidden="false" customHeight="true" outlineLevel="0" collapsed="false">
      <c r="A35" s="20" t="s">
        <v>28</v>
      </c>
      <c r="B35" s="21" t="n">
        <f aca="false">+D35-C35</f>
        <v>69.52</v>
      </c>
      <c r="C35" s="21" t="n">
        <f aca="false">+D35/100*56</f>
        <v>88.48</v>
      </c>
      <c r="D35" s="22" t="n">
        <v>158</v>
      </c>
      <c r="F35" s="20" t="s">
        <v>29</v>
      </c>
      <c r="G35" s="21" t="n">
        <f aca="false">+I35-H35</f>
        <v>109.56</v>
      </c>
      <c r="H35" s="21" t="n">
        <f aca="false">+I35/100*56</f>
        <v>139.44</v>
      </c>
      <c r="I35" s="22" t="n">
        <v>249</v>
      </c>
    </row>
    <row r="37" customFormat="false" ht="19.7" hidden="false" customHeight="false" outlineLevel="0" collapsed="false">
      <c r="A37" s="5" t="s">
        <v>30</v>
      </c>
      <c r="B37" s="5"/>
      <c r="C37" s="5"/>
      <c r="D37" s="5"/>
      <c r="F37" s="6" t="s">
        <v>30</v>
      </c>
      <c r="G37" s="6"/>
      <c r="H37" s="6"/>
      <c r="I37" s="6"/>
    </row>
    <row r="38" customFormat="false" ht="34.5" hidden="false" customHeight="true" outlineLevel="0" collapsed="false">
      <c r="A38" s="7" t="s">
        <v>4</v>
      </c>
      <c r="B38" s="8" t="s">
        <v>5</v>
      </c>
      <c r="C38" s="8" t="s">
        <v>6</v>
      </c>
      <c r="D38" s="9" t="s">
        <v>7</v>
      </c>
      <c r="F38" s="10" t="s">
        <v>4</v>
      </c>
      <c r="G38" s="11" t="s">
        <v>5</v>
      </c>
      <c r="H38" s="11" t="s">
        <v>6</v>
      </c>
      <c r="I38" s="12" t="s">
        <v>7</v>
      </c>
    </row>
    <row r="39" customFormat="false" ht="21.75" hidden="false" customHeight="true" outlineLevel="0" collapsed="false">
      <c r="A39" s="13" t="s">
        <v>31</v>
      </c>
      <c r="B39" s="14" t="n">
        <f aca="false">+D39-C39</f>
        <v>33.88</v>
      </c>
      <c r="C39" s="14" t="n">
        <f aca="false">+D39/100*56</f>
        <v>43.12</v>
      </c>
      <c r="D39" s="15" t="n">
        <v>77</v>
      </c>
      <c r="F39" s="13" t="s">
        <v>32</v>
      </c>
      <c r="G39" s="14" t="n">
        <f aca="false">+I39-H39</f>
        <v>53.24</v>
      </c>
      <c r="H39" s="14" t="n">
        <f aca="false">+I39/100*56</f>
        <v>67.76</v>
      </c>
      <c r="I39" s="15" t="n">
        <v>121</v>
      </c>
    </row>
    <row r="40" customFormat="false" ht="21.75" hidden="false" customHeight="true" outlineLevel="0" collapsed="false">
      <c r="A40" s="17" t="s">
        <v>26</v>
      </c>
      <c r="B40" s="18" t="n">
        <f aca="false">+D40-C40</f>
        <v>37.84</v>
      </c>
      <c r="C40" s="18" t="n">
        <f aca="false">+D40/100*56</f>
        <v>48.16</v>
      </c>
      <c r="D40" s="19" t="n">
        <v>86</v>
      </c>
      <c r="F40" s="17" t="s">
        <v>27</v>
      </c>
      <c r="G40" s="18" t="n">
        <f aca="false">+I40-H40</f>
        <v>58.96</v>
      </c>
      <c r="H40" s="18" t="n">
        <f aca="false">+I40/100*56</f>
        <v>75.04</v>
      </c>
      <c r="I40" s="19" t="n">
        <v>134</v>
      </c>
    </row>
    <row r="41" customFormat="false" ht="21.75" hidden="false" customHeight="true" outlineLevel="0" collapsed="false">
      <c r="A41" s="13" t="s">
        <v>8</v>
      </c>
      <c r="B41" s="14" t="n">
        <f aca="false">+D41-C41</f>
        <v>42.24</v>
      </c>
      <c r="C41" s="14" t="n">
        <f aca="false">+D41/100*56</f>
        <v>53.76</v>
      </c>
      <c r="D41" s="15" t="n">
        <v>96</v>
      </c>
      <c r="F41" s="13" t="s">
        <v>9</v>
      </c>
      <c r="G41" s="14" t="n">
        <f aca="false">+I41-H41</f>
        <v>65.56</v>
      </c>
      <c r="H41" s="14" t="n">
        <f aca="false">+I41/100*56</f>
        <v>83.44</v>
      </c>
      <c r="I41" s="15" t="n">
        <v>149</v>
      </c>
    </row>
    <row r="42" customFormat="false" ht="21.75" hidden="false" customHeight="true" outlineLevel="0" collapsed="false">
      <c r="A42" s="17" t="s">
        <v>10</v>
      </c>
      <c r="B42" s="18" t="n">
        <f aca="false">+D42-C42</f>
        <v>44.44</v>
      </c>
      <c r="C42" s="18" t="n">
        <f aca="false">+D42/100*56</f>
        <v>56.56</v>
      </c>
      <c r="D42" s="19" t="n">
        <v>101</v>
      </c>
      <c r="F42" s="17" t="s">
        <v>11</v>
      </c>
      <c r="G42" s="18" t="n">
        <f aca="false">+I42-H42</f>
        <v>69.08</v>
      </c>
      <c r="H42" s="18" t="n">
        <f aca="false">+I42/100*56</f>
        <v>87.92</v>
      </c>
      <c r="I42" s="19" t="n">
        <v>157</v>
      </c>
    </row>
    <row r="43" customFormat="false" ht="21.75" hidden="false" customHeight="true" outlineLevel="0" collapsed="false">
      <c r="A43" s="13" t="s">
        <v>12</v>
      </c>
      <c r="B43" s="14" t="n">
        <f aca="false">+D43-C43</f>
        <v>49.28</v>
      </c>
      <c r="C43" s="14" t="n">
        <f aca="false">+D43/100*56</f>
        <v>62.72</v>
      </c>
      <c r="D43" s="15" t="n">
        <v>112</v>
      </c>
      <c r="F43" s="13" t="s">
        <v>13</v>
      </c>
      <c r="G43" s="14" t="n">
        <f aca="false">+I43-H43</f>
        <v>74.8</v>
      </c>
      <c r="H43" s="14" t="n">
        <f aca="false">+I43/100*56</f>
        <v>95.2</v>
      </c>
      <c r="I43" s="15" t="n">
        <v>170</v>
      </c>
    </row>
    <row r="44" customFormat="false" ht="21.75" hidden="false" customHeight="true" outlineLevel="0" collapsed="false">
      <c r="A44" s="17" t="s">
        <v>14</v>
      </c>
      <c r="B44" s="18" t="n">
        <f aca="false">+D44-C44</f>
        <v>51.04</v>
      </c>
      <c r="C44" s="18" t="n">
        <f aca="false">+D44/100*56</f>
        <v>64.96</v>
      </c>
      <c r="D44" s="19" t="n">
        <v>116</v>
      </c>
      <c r="F44" s="17" t="s">
        <v>15</v>
      </c>
      <c r="G44" s="18" t="n">
        <f aca="false">+I44-H44</f>
        <v>78.76</v>
      </c>
      <c r="H44" s="18" t="n">
        <f aca="false">+I44/100*56</f>
        <v>100.24</v>
      </c>
      <c r="I44" s="19" t="n">
        <v>179</v>
      </c>
    </row>
    <row r="45" customFormat="false" ht="21.75" hidden="false" customHeight="true" outlineLevel="0" collapsed="false">
      <c r="A45" s="13" t="s">
        <v>16</v>
      </c>
      <c r="B45" s="14" t="n">
        <f aca="false">+D45-C45</f>
        <v>53.24</v>
      </c>
      <c r="C45" s="14" t="n">
        <f aca="false">+D45/100*56</f>
        <v>67.76</v>
      </c>
      <c r="D45" s="15" t="n">
        <v>121</v>
      </c>
      <c r="F45" s="13" t="s">
        <v>17</v>
      </c>
      <c r="G45" s="14" t="n">
        <f aca="false">+I45-H45</f>
        <v>84.92</v>
      </c>
      <c r="H45" s="14" t="n">
        <f aca="false">+I45/100*56</f>
        <v>108.08</v>
      </c>
      <c r="I45" s="15" t="n">
        <v>193</v>
      </c>
    </row>
    <row r="46" customFormat="false" ht="21.75" hidden="false" customHeight="true" outlineLevel="0" collapsed="false">
      <c r="A46" s="20" t="s">
        <v>33</v>
      </c>
      <c r="B46" s="21" t="n">
        <f aca="false">+D46-C46</f>
        <v>60.72</v>
      </c>
      <c r="C46" s="21" t="n">
        <f aca="false">+D46/100*56</f>
        <v>77.28</v>
      </c>
      <c r="D46" s="22" t="n">
        <v>138</v>
      </c>
      <c r="F46" s="20" t="s">
        <v>34</v>
      </c>
      <c r="G46" s="21" t="n">
        <f aca="false">+I46-H46</f>
        <v>95.04</v>
      </c>
      <c r="H46" s="21" t="n">
        <f aca="false">+I46/100*56</f>
        <v>120.96</v>
      </c>
      <c r="I46" s="22" t="n">
        <v>216</v>
      </c>
    </row>
  </sheetData>
  <mergeCells count="11">
    <mergeCell ref="A1:I1"/>
    <mergeCell ref="A2:D2"/>
    <mergeCell ref="F2:I2"/>
    <mergeCell ref="A4:D4"/>
    <mergeCell ref="F4:I4"/>
    <mergeCell ref="A15:D15"/>
    <mergeCell ref="F15:I15"/>
    <mergeCell ref="A26:D26"/>
    <mergeCell ref="F26:I26"/>
    <mergeCell ref="A37:D37"/>
    <mergeCell ref="F37:I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2025-07-18T13:50:25Z</dcterms:created>
  <dc:creator>Thierry Duflot</dc:creator>
  <dc:description/>
  <dc:language>fr-FR</dc:language>
  <cp:lastModifiedBy>Thierry Duflot</cp:lastModifiedBy>
  <cp:lastPrinted>2025-09-16T19:55:28Z</cp:lastPrinted>
  <dcterms:modified xsi:type="dcterms:W3CDTF">2025-09-17T20:03:32Z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